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JOBS\32425\DESIGN REF\"/>
    </mc:Choice>
  </mc:AlternateContent>
  <xr:revisionPtr revIDLastSave="0" documentId="8_{EB5C536A-4678-4B85-B0C7-F7E54FC653B4}" xr6:coauthVersionLast="47" xr6:coauthVersionMax="47" xr10:uidLastSave="{00000000-0000-0000-0000-000000000000}"/>
  <workbookProtection workbookAlgorithmName="SHA-512" workbookHashValue="ogG4X+rx8LKI3IzAfv3UlwiE6Y31LksDhinKQ0QDlL6yTByf1brNncq1WBwEKdQbjGOpo+WjscctcWfwbPdrSg==" workbookSaltValue="pl+mg+ae335dzztraWeB8Q==" workbookSpinCount="100000" lockStructure="1"/>
  <bookViews>
    <workbookView xWindow="-120" yWindow="-120" windowWidth="29040" windowHeight="15720" activeTab="2" xr2:uid="{05863D4D-BDD6-4941-A85D-3B7EABC7FDC9}"/>
  </bookViews>
  <sheets>
    <sheet name="Application Design" sheetId="1" r:id="rId1"/>
    <sheet name="Navigator" sheetId="2" r:id="rId2"/>
    <sheet name="Chips.Swarf-Calculator" sheetId="4" r:id="rId3"/>
    <sheet name="Parts.Scrap-Calculator" sheetId="5" r:id="rId4"/>
    <sheet name="Reference Tables" sheetId="3" r:id="rId5"/>
  </sheets>
  <definedNames>
    <definedName name="_xlnm.Print_Area" localSheetId="0">'Application Design'!$A$1:$I$109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4" l="1"/>
  <c r="J49" i="4"/>
  <c r="J47" i="4"/>
  <c r="I47" i="4"/>
  <c r="B12" i="4"/>
  <c r="C71" i="1"/>
  <c r="B36" i="5"/>
  <c r="B14" i="5" l="1"/>
  <c r="B31" i="5"/>
  <c r="B39" i="4" l="1"/>
  <c r="E62" i="1" l="1"/>
  <c r="E58" i="1" l="1"/>
  <c r="E37" i="1"/>
  <c r="B6" i="4"/>
  <c r="B8" i="4"/>
  <c r="B7" i="4"/>
  <c r="B18" i="4" l="1"/>
  <c r="B17" i="4"/>
  <c r="B13" i="5"/>
  <c r="B12" i="5"/>
  <c r="B10" i="5"/>
  <c r="B24" i="5" s="1"/>
  <c r="B8" i="5"/>
  <c r="B7" i="5"/>
  <c r="B6" i="5"/>
  <c r="B14" i="4"/>
  <c r="B13" i="4"/>
  <c r="B10" i="4"/>
  <c r="B22" i="4" s="1"/>
  <c r="B47" i="5"/>
  <c r="B51" i="5" s="1"/>
  <c r="B53" i="5" s="1"/>
  <c r="B51" i="4"/>
  <c r="B53" i="4" s="1"/>
  <c r="B18" i="5" l="1"/>
  <c r="B55" i="4"/>
  <c r="B56" i="4" s="1"/>
  <c r="B55" i="5"/>
  <c r="B56" i="5" s="1"/>
  <c r="B20" i="5"/>
  <c r="B21" i="5" s="1"/>
  <c r="B19" i="5"/>
  <c r="B23" i="5" s="1"/>
  <c r="B30" i="5" s="1"/>
  <c r="B19" i="4"/>
  <c r="B21" i="4"/>
  <c r="B28" i="4" s="1"/>
  <c r="B22" i="5" l="1"/>
  <c r="B32" i="5"/>
  <c r="B20" i="4"/>
  <c r="B29" i="4" s="1"/>
  <c r="B28" i="5" l="1"/>
  <c r="B25" i="5"/>
  <c r="B17" i="5"/>
  <c r="B30" i="4"/>
  <c r="B23" i="4"/>
  <c r="B27" i="5" l="1"/>
  <c r="B26" i="4"/>
  <c r="B35" i="5"/>
  <c r="B26" i="5"/>
  <c r="B31" i="4"/>
  <c r="B32" i="4" s="1"/>
  <c r="B29" i="5" l="1"/>
  <c r="B25" i="4"/>
  <c r="B44" i="4"/>
  <c r="B24" i="4"/>
  <c r="B37" i="5" l="1"/>
  <c r="B40" i="5" s="1"/>
  <c r="B41" i="5" s="1"/>
  <c r="B52" i="5" s="1"/>
  <c r="B49" i="5"/>
  <c r="B50" i="5" s="1"/>
  <c r="B48" i="5"/>
  <c r="E55" i="1"/>
  <c r="E28" i="1"/>
  <c r="E52" i="1"/>
  <c r="E7" i="3" l="1"/>
  <c r="C33" i="3" s="1"/>
  <c r="E6" i="3"/>
  <c r="C9" i="3" s="1"/>
  <c r="E5" i="3"/>
  <c r="C24" i="3" s="1"/>
  <c r="E33" i="1"/>
  <c r="E74" i="1"/>
  <c r="E75" i="1"/>
  <c r="E84" i="1"/>
  <c r="E57" i="1"/>
  <c r="E56" i="1"/>
  <c r="F79" i="1"/>
  <c r="F78" i="1"/>
  <c r="E39" i="1"/>
  <c r="E38" i="1"/>
  <c r="D88" i="1"/>
  <c r="C16" i="3" l="1"/>
  <c r="C17" i="3"/>
  <c r="C18" i="3"/>
  <c r="C19" i="3"/>
  <c r="C20" i="3"/>
  <c r="C21" i="3"/>
  <c r="C23" i="3"/>
  <c r="C27" i="3"/>
  <c r="C29" i="3"/>
  <c r="C11" i="3"/>
  <c r="C30" i="3"/>
  <c r="C25" i="3"/>
  <c r="C10" i="3"/>
  <c r="C12" i="3"/>
  <c r="C31" i="3"/>
  <c r="C13" i="3"/>
  <c r="C32" i="3"/>
  <c r="C26" i="3"/>
  <c r="C14" i="3"/>
  <c r="B27" i="4"/>
  <c r="B46" i="4" s="1"/>
  <c r="B41" i="4" l="1"/>
  <c r="B42" i="4" s="1"/>
  <c r="B49" i="4"/>
  <c r="B50" i="4" l="1"/>
  <c r="B52" i="4" s="1"/>
</calcChain>
</file>

<file path=xl/sharedStrings.xml><?xml version="1.0" encoding="utf-8"?>
<sst xmlns="http://schemas.openxmlformats.org/spreadsheetml/2006/main" count="358" uniqueCount="245">
  <si>
    <t>Application Design Sheet</t>
  </si>
  <si>
    <t>Magnetic Conveyor</t>
  </si>
  <si>
    <t>Quote #</t>
  </si>
  <si>
    <t>Job #</t>
  </si>
  <si>
    <t>Customer</t>
  </si>
  <si>
    <t>Designer</t>
  </si>
  <si>
    <t>Specification</t>
  </si>
  <si>
    <t>If customer specification, provide reference brands, part numbers, as applicable</t>
  </si>
  <si>
    <t>Environmental Factors</t>
  </si>
  <si>
    <t>Make</t>
  </si>
  <si>
    <t>Model</t>
  </si>
  <si>
    <t>Process</t>
  </si>
  <si>
    <t>Does Eng. need to send drawing to Estimating to create quote template?</t>
  </si>
  <si>
    <t>Material Data</t>
  </si>
  <si>
    <t>Material</t>
  </si>
  <si>
    <t>Material type</t>
  </si>
  <si>
    <t>Chip Type</t>
  </si>
  <si>
    <t>Fluid Present</t>
  </si>
  <si>
    <t>Fluid Type</t>
  </si>
  <si>
    <t>Conveyor</t>
  </si>
  <si>
    <t>Style</t>
  </si>
  <si>
    <t>Magnet Configuration</t>
  </si>
  <si>
    <t>Conveyor Options</t>
  </si>
  <si>
    <t>Support Leg</t>
  </si>
  <si>
    <t>QTY.</t>
  </si>
  <si>
    <t>Casters</t>
  </si>
  <si>
    <t>Leveling Feet</t>
  </si>
  <si>
    <t>Infeed Hopper</t>
  </si>
  <si>
    <t>Covers</t>
  </si>
  <si>
    <t>Gearmotor</t>
  </si>
  <si>
    <t>Field Wiring</t>
  </si>
  <si>
    <t>Entire body SS?</t>
  </si>
  <si>
    <t>If custom, provide scope</t>
  </si>
  <si>
    <t>Paint</t>
  </si>
  <si>
    <t>Other</t>
  </si>
  <si>
    <t>Bearing type</t>
  </si>
  <si>
    <t>Manuals</t>
  </si>
  <si>
    <t>Standard labels and tagging?</t>
  </si>
  <si>
    <t>If no, provide details</t>
  </si>
  <si>
    <t>Fill frequency</t>
  </si>
  <si>
    <t>Flow Rate (GPM)</t>
  </si>
  <si>
    <t>Material Size (THK x WD x LG)</t>
  </si>
  <si>
    <t>Scrap bin size (HT x WD x LG)</t>
  </si>
  <si>
    <t>Infeed Length (in.)</t>
  </si>
  <si>
    <t>Discharge Height (in.)</t>
  </si>
  <si>
    <t>Incline Angle (deg.)</t>
  </si>
  <si>
    <t>Speed (FPM)</t>
  </si>
  <si>
    <t>Specify Brand</t>
  </si>
  <si>
    <t>Power feed</t>
  </si>
  <si>
    <t>Magnet Pitch (in.)</t>
  </si>
  <si>
    <t>Controls</t>
  </si>
  <si>
    <t>Ex. customer title blocks, extensive manuals and etc.</t>
  </si>
  <si>
    <t>Special Requirements</t>
  </si>
  <si>
    <t>Electrical</t>
  </si>
  <si>
    <t>Temperature of parts</t>
  </si>
  <si>
    <t>If conveying parts, then 2" larger than the part size</t>
  </si>
  <si>
    <t>Hint: If conveying bulk material, then depends on lbs/hr</t>
  </si>
  <si>
    <t>Hint: Needs to be larger than part size and consider lbs/hr</t>
  </si>
  <si>
    <t xml:space="preserve">Hint: If you have neo magnets with low surface contact area </t>
  </si>
  <si>
    <t>Hint: Premium is only by customer request</t>
  </si>
  <si>
    <t>Hint: make sure pitch of magnets is larger than part size,</t>
  </si>
  <si>
    <t>otherwise bridging can occurr</t>
  </si>
  <si>
    <t>and heavy part, then need full manganese cover. Otherwise,</t>
  </si>
  <si>
    <t>parts will create a "trench" in a cover</t>
  </si>
  <si>
    <t>Other Selection 1</t>
  </si>
  <si>
    <t>Other Selection 2</t>
  </si>
  <si>
    <t>Custom</t>
  </si>
  <si>
    <t>Hint: "Field wiring" is wiring at final installation site</t>
  </si>
  <si>
    <t>Material drop height (in)</t>
  </si>
  <si>
    <t>Thickness (in.)</t>
  </si>
  <si>
    <t>Width (in.)</t>
  </si>
  <si>
    <t>Length (in.)</t>
  </si>
  <si>
    <t>Hint: if small chips then height does not matter. If parts,</t>
  </si>
  <si>
    <t>then fall and height matter. If the part is light, then we can use</t>
  </si>
  <si>
    <t>thicker infeed cover. If the part is heavy (ounces and pounds),</t>
  </si>
  <si>
    <t>then we need other considerations (chute, manganese cover, etc.)</t>
  </si>
  <si>
    <t>in</t>
  </si>
  <si>
    <t>ft</t>
  </si>
  <si>
    <t>Incline Deg.</t>
  </si>
  <si>
    <t>degrees</t>
  </si>
  <si>
    <t>Incline Length</t>
  </si>
  <si>
    <t>Incline Run</t>
  </si>
  <si>
    <t>Magnet Type</t>
  </si>
  <si>
    <t>Lbs/magnet</t>
  </si>
  <si>
    <t>Efficiency</t>
  </si>
  <si>
    <t>Actual lbs/bar</t>
  </si>
  <si>
    <t>Discharge Length</t>
  </si>
  <si>
    <t>2.5" Ceramic 5</t>
  </si>
  <si>
    <t>3.5" Ceramic 5</t>
  </si>
  <si>
    <t>Magnet Width</t>
  </si>
  <si>
    <t>2" Neo 35-50</t>
  </si>
  <si>
    <t>Chain Weight (C2060)</t>
  </si>
  <si>
    <t>lb/ft</t>
  </si>
  <si>
    <t xml:space="preserve">Belt Length </t>
  </si>
  <si>
    <t xml:space="preserve">Belt Speed </t>
  </si>
  <si>
    <t>ft/min</t>
  </si>
  <si>
    <t>Magnet Centers</t>
  </si>
  <si>
    <t>Magnet Weight</t>
  </si>
  <si>
    <t>ea</t>
  </si>
  <si>
    <t>12" Ceramic 5</t>
  </si>
  <si>
    <t xml:space="preserve">Load Per Hr. </t>
  </si>
  <si>
    <t>lb/hr</t>
  </si>
  <si>
    <t>12" w/ (1) Neo</t>
  </si>
  <si>
    <t>Weight Per Foot</t>
  </si>
  <si>
    <t>12" w/ (2) Neo</t>
  </si>
  <si>
    <t>use multiple Neos</t>
  </si>
  <si>
    <t>Belt Pull Friction</t>
  </si>
  <si>
    <t>lb</t>
  </si>
  <si>
    <t>12" w/ (3) Neo</t>
  </si>
  <si>
    <t>Belt Pull Gravity</t>
  </si>
  <si>
    <t>12" w/ (4) Neo</t>
  </si>
  <si>
    <t>12" w/ (5) Neo</t>
  </si>
  <si>
    <t>lbs</t>
  </si>
  <si>
    <t>15" Ceramic 5</t>
  </si>
  <si>
    <t>15" w/ (1) Neo</t>
  </si>
  <si>
    <t>15" w/ (2) Neo</t>
  </si>
  <si>
    <t>15" w/ (3) Neo</t>
  </si>
  <si>
    <t>in-lb</t>
  </si>
  <si>
    <t>15" w/ (4) Neo</t>
  </si>
  <si>
    <t>15" w/ (5) Neo</t>
  </si>
  <si>
    <t>18" Ceramic 5</t>
  </si>
  <si>
    <t>HP</t>
  </si>
  <si>
    <t>18" w/ (1) Neo</t>
  </si>
  <si>
    <t>18" w/ (2) Neo</t>
  </si>
  <si>
    <t>18" w/ (3) Neo</t>
  </si>
  <si>
    <t>18" w/ (4) Neo</t>
  </si>
  <si>
    <t>24" Ceramic 5</t>
  </si>
  <si>
    <t>24" w/ (1) Neo</t>
  </si>
  <si>
    <t>24" w/ (2) Neo</t>
  </si>
  <si>
    <t>24" w/ (3) Neo</t>
  </si>
  <si>
    <t>24" w/ (4) Neo</t>
  </si>
  <si>
    <t>Infeed length</t>
  </si>
  <si>
    <t>Calculator</t>
  </si>
  <si>
    <t>Customer's Machine Tool Info</t>
  </si>
  <si>
    <t>Throughput of conv. (lbs/hr)</t>
  </si>
  <si>
    <r>
      <t>Density of material (lbs/in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</si>
  <si>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Magnet Bar Width (in.)</t>
  </si>
  <si>
    <t>Discharge Height</t>
  </si>
  <si>
    <t>Lead</t>
  </si>
  <si>
    <t>min</t>
  </si>
  <si>
    <t>lbs/hr</t>
  </si>
  <si>
    <t>Achieved throughput margin</t>
  </si>
  <si>
    <t>Pitch of chain</t>
  </si>
  <si>
    <t>Efficiency of chain drive</t>
  </si>
  <si>
    <t>Running efficiency of worm reducer</t>
  </si>
  <si>
    <t>Starting efficiency of worm reducer</t>
  </si>
  <si>
    <t>in/rev</t>
  </si>
  <si>
    <t>Required output RPM of GM</t>
  </si>
  <si>
    <t>RPM</t>
  </si>
  <si>
    <t>Running Torque</t>
  </si>
  <si>
    <t>Starting Torque</t>
  </si>
  <si>
    <t>Required output torque of GM</t>
  </si>
  <si>
    <t>Required output HP of GM</t>
  </si>
  <si>
    <t>Only yellow cells require input from Designer</t>
  </si>
  <si>
    <t>Weight of individual part (lbs)</t>
  </si>
  <si>
    <t>USE IF CONVEYING CHIPS</t>
  </si>
  <si>
    <t>Number of used teeth on sprocket</t>
  </si>
  <si>
    <t>Hint: must be equal to or greater than 1.5</t>
  </si>
  <si>
    <t>Desired safety factor (torque based)</t>
  </si>
  <si>
    <t>Hint: 22" is standard</t>
  </si>
  <si>
    <t>Single</t>
  </si>
  <si>
    <t>Combination</t>
  </si>
  <si>
    <t>Lbs/Bar</t>
  </si>
  <si>
    <t>MAGNET INPUT SECTION</t>
  </si>
  <si>
    <t>MAGNET CALCULATION SECTION</t>
  </si>
  <si>
    <t>DRIVE CALCULATION SECTION</t>
  </si>
  <si>
    <t>Hint: used number of teeth is different from number</t>
  </si>
  <si>
    <t>of teeth on the sprocket due to double-pitch chain</t>
  </si>
  <si>
    <t>Hint: must be equal to or greater than 1.25</t>
  </si>
  <si>
    <t>Weight of each part</t>
  </si>
  <si>
    <t>Desired parts per minute</t>
  </si>
  <si>
    <t>Parts per each magnet bar</t>
  </si>
  <si>
    <t>parts</t>
  </si>
  <si>
    <t>part/min</t>
  </si>
  <si>
    <t>Hint #1: When scrap part weighs above 1lb each, use Neo Magnets</t>
  </si>
  <si>
    <t>Hint: ensure that selected speed is higher than needed</t>
  </si>
  <si>
    <t>USE TABLES</t>
  </si>
  <si>
    <t>REFERENCE TABLES</t>
  </si>
  <si>
    <t>Hint #2: If conveying parts, consider weight of the part and size</t>
  </si>
  <si>
    <t>in selection of magnets</t>
  </si>
  <si>
    <t xml:space="preserve">Hint #3: If parts are odd shaped or have minimal surface contact, </t>
  </si>
  <si>
    <t>Hint: consider size of part and removal lbs per bar</t>
  </si>
  <si>
    <t>QTY of 5 Gal Pails</t>
  </si>
  <si>
    <t>gal</t>
  </si>
  <si>
    <t>pails</t>
  </si>
  <si>
    <t>HYDRAULIC OIL FILL CALCULATION SECTION</t>
  </si>
  <si>
    <t>Volume of oil required</t>
  </si>
  <si>
    <t>Loading/Unloading of Conveyor</t>
  </si>
  <si>
    <t>Describe how conveyor is loaded (from the side, from the tail end, is the load moving at high velocity, how the load is being dumped,</t>
  </si>
  <si>
    <t>is conveyor loaded with shuffle trays, shaker conveyor and etc.)</t>
  </si>
  <si>
    <t>All inputs (conveyors, shuffle trays, chutes and etc.) need to be modeled in our designs</t>
  </si>
  <si>
    <t>Describe where and how conveyor unloads (in the bin, into another conveyor and etc.)</t>
  </si>
  <si>
    <t>USE IF CONVEYING CHIPS/SWARF</t>
  </si>
  <si>
    <t>RETURN TO APPLICATION DESIGN</t>
  </si>
  <si>
    <t>Feed rate of machine tool (part/min)</t>
  </si>
  <si>
    <t>Approximate GM ratio</t>
  </si>
  <si>
    <t>RETURN TO PARTS CALCULATOR</t>
  </si>
  <si>
    <t>RETURN TO CHIPS/SWARF CALCULATOR</t>
  </si>
  <si>
    <t>USE IF CONVEYING PARTS/SCRAP</t>
  </si>
  <si>
    <t>Hint: zero if C-style</t>
  </si>
  <si>
    <t xml:space="preserve">Cast Iron: 0.26  Steel: 0.28 </t>
  </si>
  <si>
    <t xml:space="preserve">TOTAL BELT WEIGHT: </t>
  </si>
  <si>
    <t>Starting belt pull</t>
  </si>
  <si>
    <t>total belt pull</t>
  </si>
  <si>
    <t>Head sprocket pitch diameter</t>
  </si>
  <si>
    <t xml:space="preserve">in </t>
  </si>
  <si>
    <t xml:space="preserve">Running torque </t>
  </si>
  <si>
    <t>in/lbs</t>
  </si>
  <si>
    <t xml:space="preserve">Total Torque Requirement </t>
  </si>
  <si>
    <t>Coefiecent of Friction:</t>
  </si>
  <si>
    <t xml:space="preserve">Steel on UHMW </t>
  </si>
  <si>
    <t>Lead (Circumference of sprocket)</t>
  </si>
  <si>
    <t>Starting belt pull (BASE VALUE)</t>
  </si>
  <si>
    <t>`</t>
  </si>
  <si>
    <t>Total Belt Pull</t>
  </si>
  <si>
    <t>Head Sprocket Pitch Diameter</t>
  </si>
  <si>
    <t>Desired Safety Factor (Torque Based)</t>
  </si>
  <si>
    <t>Total Load Per Cycle</t>
  </si>
  <si>
    <t>Chip Load On Bed</t>
  </si>
  <si>
    <t>Path Length of Conveyor</t>
  </si>
  <si>
    <t>Horizontal Length of Conveyor</t>
  </si>
  <si>
    <t>Total QTY Of Magnets</t>
  </si>
  <si>
    <t>Magnet Cycle Time</t>
  </si>
  <si>
    <t>Removal Rate Of Single Bar</t>
  </si>
  <si>
    <t>Infeed Length</t>
  </si>
  <si>
    <t>Removal/Bar</t>
  </si>
  <si>
    <t>Belt Weight Per Foot</t>
  </si>
  <si>
    <t>Throughput Of Conveyor</t>
  </si>
  <si>
    <t>Achieved Throughput Margin</t>
  </si>
  <si>
    <t>Magnet Frequency</t>
  </si>
  <si>
    <t>Needed Belt Speed (Minimum)</t>
  </si>
  <si>
    <t>Horizontal Length Of Conveyor</t>
  </si>
  <si>
    <t>Path Length Of Conveyor</t>
  </si>
  <si>
    <t xml:space="preserve">Part Load On Bed </t>
  </si>
  <si>
    <t>Selected Belt Speed</t>
  </si>
  <si>
    <t>G-Fab</t>
  </si>
  <si>
    <t>Frank Neufeld</t>
  </si>
  <si>
    <t>MC3 Standard</t>
  </si>
  <si>
    <t>Outdoors</t>
  </si>
  <si>
    <t>Parts</t>
  </si>
  <si>
    <t>Steel</t>
  </si>
  <si>
    <t>Small</t>
  </si>
  <si>
    <t>Ambient</t>
  </si>
  <si>
    <t>No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</si>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</sst>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u/>
      <sz val="10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3" fillId="3" borderId="7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0" fillId="0" borderId="12" xfId="0" applyBorder="1"/>
    <xf numFmtId="0" fontId="3" fillId="0" borderId="12" xfId="0" applyFont="1" applyBorder="1"/>
    <xf numFmtId="0" fontId="0" fillId="0" borderId="14" xfId="0" applyBorder="1"/>
    <xf numFmtId="0" fontId="0" fillId="0" borderId="15" xfId="0" applyBorder="1"/>
    <xf numFmtId="0" fontId="0" fillId="3" borderId="16" xfId="0" applyFill="1" applyBorder="1"/>
    <xf numFmtId="0" fontId="3" fillId="3" borderId="17" xfId="0" applyFont="1" applyFill="1" applyBorder="1"/>
    <xf numFmtId="0" fontId="0" fillId="3" borderId="6" xfId="0" applyFill="1" applyBorder="1"/>
    <xf numFmtId="0" fontId="3" fillId="3" borderId="16" xfId="0" applyFont="1" applyFill="1" applyBorder="1"/>
    <xf numFmtId="0" fontId="3" fillId="3" borderId="6" xfId="0" applyFont="1" applyFill="1" applyBorder="1"/>
    <xf numFmtId="0" fontId="6" fillId="0" borderId="0" xfId="0" applyFont="1"/>
    <xf numFmtId="0" fontId="0" fillId="0" borderId="18" xfId="0" applyBorder="1"/>
    <xf numFmtId="0" fontId="0" fillId="0" borderId="19" xfId="0" applyBorder="1"/>
    <xf numFmtId="0" fontId="10" fillId="0" borderId="0" xfId="1" applyBorder="1"/>
    <xf numFmtId="0" fontId="0" fillId="0" borderId="7" xfId="0" applyBorder="1" applyAlignment="1">
      <alignment horizontal="left"/>
    </xf>
    <xf numFmtId="0" fontId="6" fillId="0" borderId="7" xfId="0" applyFont="1" applyBorder="1"/>
    <xf numFmtId="0" fontId="3" fillId="0" borderId="0" xfId="0" applyFont="1" applyAlignment="1">
      <alignment vertical="center"/>
    </xf>
    <xf numFmtId="2" fontId="0" fillId="0" borderId="0" xfId="0" applyNumberFormat="1"/>
    <xf numFmtId="0" fontId="0" fillId="4" borderId="18" xfId="0" applyFill="1" applyBorder="1"/>
    <xf numFmtId="0" fontId="0" fillId="4" borderId="8" xfId="0" applyFill="1" applyBorder="1"/>
    <xf numFmtId="2" fontId="0" fillId="2" borderId="7" xfId="0" applyNumberFormat="1" applyFill="1" applyBorder="1" applyProtection="1">
      <protection locked="0"/>
    </xf>
    <xf numFmtId="0" fontId="0" fillId="0" borderId="7" xfId="0" applyBorder="1" applyProtection="1">
      <protection locked="0"/>
    </xf>
    <xf numFmtId="2" fontId="15" fillId="0" borderId="0" xfId="0" applyNumberFormat="1" applyFont="1"/>
    <xf numFmtId="2" fontId="0" fillId="0" borderId="0" xfId="0" applyNumberFormat="1" applyProtection="1">
      <protection locked="0"/>
    </xf>
    <xf numFmtId="0" fontId="3" fillId="0" borderId="7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16" fillId="0" borderId="0" xfId="0" applyNumberFormat="1" applyFont="1"/>
    <xf numFmtId="0" fontId="13" fillId="6" borderId="7" xfId="0" applyFont="1" applyFill="1" applyBorder="1" applyAlignment="1">
      <alignment horizontal="center"/>
    </xf>
    <xf numFmtId="0" fontId="16" fillId="0" borderId="0" xfId="0" applyFont="1"/>
    <xf numFmtId="0" fontId="0" fillId="0" borderId="7" xfId="0" applyBorder="1" applyAlignment="1">
      <alignment horizontal="center"/>
    </xf>
    <xf numFmtId="0" fontId="15" fillId="0" borderId="0" xfId="0" applyFont="1"/>
    <xf numFmtId="0" fontId="0" fillId="0" borderId="0" xfId="0" applyProtection="1">
      <protection locked="0"/>
    </xf>
    <xf numFmtId="0" fontId="0" fillId="0" borderId="24" xfId="0" applyBorder="1"/>
    <xf numFmtId="2" fontId="6" fillId="0" borderId="7" xfId="0" applyNumberFormat="1" applyFont="1" applyBorder="1"/>
    <xf numFmtId="2" fontId="0" fillId="0" borderId="7" xfId="0" applyNumberFormat="1" applyBorder="1"/>
    <xf numFmtId="0" fontId="17" fillId="0" borderId="0" xfId="0" applyFont="1"/>
    <xf numFmtId="2" fontId="18" fillId="0" borderId="0" xfId="0" applyNumberFormat="1" applyFont="1"/>
    <xf numFmtId="2" fontId="16" fillId="0" borderId="0" xfId="0" applyNumberFormat="1" applyFont="1" applyProtection="1">
      <protection locked="0"/>
    </xf>
    <xf numFmtId="2" fontId="0" fillId="0" borderId="26" xfId="0" applyNumberFormat="1" applyBorder="1"/>
    <xf numFmtId="0" fontId="0" fillId="0" borderId="26" xfId="0" applyBorder="1"/>
    <xf numFmtId="0" fontId="0" fillId="0" borderId="29" xfId="0" applyBorder="1" applyProtection="1">
      <protection locked="0"/>
    </xf>
    <xf numFmtId="2" fontId="0" fillId="2" borderId="29" xfId="0" applyNumberFormat="1" applyFill="1" applyBorder="1" applyProtection="1">
      <protection locked="0"/>
    </xf>
    <xf numFmtId="0" fontId="0" fillId="0" borderId="2" xfId="0" applyBorder="1" applyProtection="1">
      <protection locked="0"/>
    </xf>
    <xf numFmtId="0" fontId="3" fillId="5" borderId="3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2" fontId="10" fillId="0" borderId="0" xfId="1" applyNumberFormat="1" applyFill="1" applyBorder="1"/>
    <xf numFmtId="165" fontId="3" fillId="5" borderId="7" xfId="0" applyNumberFormat="1" applyFont="1" applyFill="1" applyBorder="1"/>
    <xf numFmtId="0" fontId="17" fillId="5" borderId="7" xfId="0" applyFont="1" applyFill="1" applyBorder="1"/>
    <xf numFmtId="0" fontId="3" fillId="5" borderId="7" xfId="0" applyFont="1" applyFill="1" applyBorder="1"/>
    <xf numFmtId="0" fontId="17" fillId="5" borderId="28" xfId="0" applyFont="1" applyFill="1" applyBorder="1" applyProtection="1">
      <protection locked="0"/>
    </xf>
    <xf numFmtId="2" fontId="0" fillId="0" borderId="3" xfId="0" applyNumberFormat="1" applyBorder="1"/>
    <xf numFmtId="0" fontId="0" fillId="2" borderId="7" xfId="0" applyFill="1" applyBorder="1" applyProtection="1">
      <protection locked="0"/>
    </xf>
    <xf numFmtId="2" fontId="17" fillId="5" borderId="7" xfId="0" applyNumberFormat="1" applyFont="1" applyFill="1" applyBorder="1"/>
    <xf numFmtId="2" fontId="3" fillId="5" borderId="7" xfId="0" applyNumberFormat="1" applyFont="1" applyFill="1" applyBorder="1"/>
    <xf numFmtId="2" fontId="17" fillId="5" borderId="28" xfId="0" applyNumberFormat="1" applyFont="1" applyFill="1" applyBorder="1"/>
    <xf numFmtId="2" fontId="3" fillId="5" borderId="7" xfId="0" applyNumberFormat="1" applyFont="1" applyFill="1" applyBorder="1" applyAlignment="1">
      <alignment horizontal="right"/>
    </xf>
    <xf numFmtId="0" fontId="3" fillId="3" borderId="12" xfId="0" applyFont="1" applyFill="1" applyBorder="1"/>
    <xf numFmtId="0" fontId="0" fillId="0" borderId="33" xfId="0" applyBorder="1"/>
    <xf numFmtId="0" fontId="3" fillId="0" borderId="3" xfId="0" applyFont="1" applyBorder="1"/>
    <xf numFmtId="0" fontId="0" fillId="0" borderId="34" xfId="0" applyBorder="1"/>
    <xf numFmtId="1" fontId="3" fillId="5" borderId="7" xfId="0" applyNumberFormat="1" applyFont="1" applyFill="1" applyBorder="1"/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1" fillId="0" borderId="0" xfId="1" applyFont="1" applyFill="1" applyBorder="1"/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7" xfId="0" applyBorder="1"/>
    <xf numFmtId="2" fontId="0" fillId="9" borderId="7" xfId="0" applyNumberFormat="1" applyFill="1" applyBorder="1"/>
    <xf numFmtId="0" fontId="3" fillId="0" borderId="7" xfId="0" applyFont="1" applyBorder="1"/>
    <xf numFmtId="0" fontId="6" fillId="0" borderId="28" xfId="0" applyFont="1" applyBorder="1"/>
    <xf numFmtId="0" fontId="3" fillId="0" borderId="30" xfId="0" applyFont="1" applyBorder="1"/>
    <xf numFmtId="0" fontId="3" fillId="5" borderId="28" xfId="0" applyFont="1" applyFill="1" applyBorder="1"/>
    <xf numFmtId="2" fontId="3" fillId="0" borderId="30" xfId="0" applyNumberFormat="1" applyFont="1" applyBorder="1"/>
    <xf numFmtId="2" fontId="3" fillId="0" borderId="7" xfId="0" applyNumberFormat="1" applyFont="1" applyBorder="1"/>
    <xf numFmtId="2" fontId="17" fillId="0" borderId="7" xfId="0" applyNumberFormat="1" applyFont="1" applyBorder="1"/>
    <xf numFmtId="0" fontId="17" fillId="0" borderId="7" xfId="0" applyFont="1" applyBorder="1"/>
    <xf numFmtId="0" fontId="3" fillId="4" borderId="30" xfId="0" applyFont="1" applyFill="1" applyBorder="1"/>
    <xf numFmtId="2" fontId="3" fillId="5" borderId="28" xfId="0" applyNumberFormat="1" applyFont="1" applyFill="1" applyBorder="1"/>
    <xf numFmtId="1" fontId="6" fillId="0" borderId="7" xfId="0" applyNumberFormat="1" applyFont="1" applyBorder="1"/>
    <xf numFmtId="2" fontId="0" fillId="9" borderId="7" xfId="0" applyNumberFormat="1" applyFill="1" applyBorder="1" applyProtection="1">
      <protection locked="0"/>
    </xf>
    <xf numFmtId="0" fontId="0" fillId="9" borderId="7" xfId="0" applyFill="1" applyBorder="1"/>
    <xf numFmtId="2" fontId="0" fillId="2" borderId="28" xfId="0" applyNumberFormat="1" applyFill="1" applyBorder="1"/>
    <xf numFmtId="2" fontId="3" fillId="4" borderId="18" xfId="0" applyNumberFormat="1" applyFont="1" applyFill="1" applyBorder="1"/>
    <xf numFmtId="0" fontId="3" fillId="4" borderId="8" xfId="0" applyFont="1" applyFill="1" applyBorder="1"/>
    <xf numFmtId="0" fontId="12" fillId="0" borderId="0" xfId="0" applyFont="1"/>
    <xf numFmtId="2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2" fontId="17" fillId="0" borderId="0" xfId="0" applyNumberFormat="1" applyFont="1"/>
    <xf numFmtId="0" fontId="18" fillId="0" borderId="0" xfId="0" applyFont="1"/>
    <xf numFmtId="0" fontId="0" fillId="0" borderId="18" xfId="0" applyBorder="1" applyAlignment="1">
      <alignment horizontal="right"/>
    </xf>
    <xf numFmtId="0" fontId="5" fillId="0" borderId="0" xfId="0" applyFont="1"/>
    <xf numFmtId="0" fontId="0" fillId="3" borderId="0" xfId="0" applyFill="1"/>
    <xf numFmtId="0" fontId="8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9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22" fillId="0" borderId="0" xfId="0" applyFont="1"/>
    <xf numFmtId="0" fontId="24" fillId="0" borderId="0" xfId="0" applyFont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45" xfId="0" applyBorder="1"/>
    <xf numFmtId="0" fontId="13" fillId="0" borderId="12" xfId="0" applyFont="1" applyBorder="1"/>
    <xf numFmtId="0" fontId="14" fillId="4" borderId="49" xfId="0" applyFont="1" applyFill="1" applyBorder="1"/>
    <xf numFmtId="0" fontId="0" fillId="0" borderId="13" xfId="0" applyBorder="1" applyProtection="1">
      <protection locked="0"/>
    </xf>
    <xf numFmtId="0" fontId="6" fillId="0" borderId="13" xfId="0" applyFont="1" applyBorder="1"/>
    <xf numFmtId="0" fontId="15" fillId="0" borderId="19" xfId="0" applyFont="1" applyBorder="1"/>
    <xf numFmtId="0" fontId="6" fillId="0" borderId="13" xfId="0" applyFont="1" applyBorder="1" applyAlignment="1" applyProtection="1">
      <alignment wrapText="1"/>
      <protection locked="0"/>
    </xf>
    <xf numFmtId="0" fontId="0" fillId="0" borderId="19" xfId="0" applyBorder="1" applyProtection="1">
      <protection locked="0"/>
    </xf>
    <xf numFmtId="0" fontId="0" fillId="0" borderId="13" xfId="0" applyBorder="1"/>
    <xf numFmtId="0" fontId="6" fillId="0" borderId="19" xfId="0" applyFont="1" applyBorder="1" applyProtection="1">
      <protection locked="0"/>
    </xf>
    <xf numFmtId="0" fontId="17" fillId="0" borderId="19" xfId="0" applyFont="1" applyBorder="1"/>
    <xf numFmtId="0" fontId="3" fillId="5" borderId="13" xfId="0" applyFont="1" applyFill="1" applyBorder="1"/>
    <xf numFmtId="0" fontId="18" fillId="0" borderId="19" xfId="0" applyFont="1" applyBorder="1"/>
    <xf numFmtId="0" fontId="3" fillId="0" borderId="13" xfId="0" applyFont="1" applyBorder="1"/>
    <xf numFmtId="0" fontId="17" fillId="0" borderId="13" xfId="0" applyFont="1" applyBorder="1"/>
    <xf numFmtId="0" fontId="17" fillId="5" borderId="13" xfId="0" applyFont="1" applyFill="1" applyBorder="1"/>
    <xf numFmtId="0" fontId="3" fillId="5" borderId="50" xfId="0" applyFont="1" applyFill="1" applyBorder="1"/>
    <xf numFmtId="0" fontId="17" fillId="5" borderId="50" xfId="0" applyFont="1" applyFill="1" applyBorder="1"/>
    <xf numFmtId="0" fontId="3" fillId="5" borderId="13" xfId="0" applyFont="1" applyFill="1" applyBorder="1" applyProtection="1">
      <protection locked="0"/>
    </xf>
    <xf numFmtId="2" fontId="0" fillId="2" borderId="7" xfId="0" applyNumberFormat="1" applyFill="1" applyBorder="1"/>
    <xf numFmtId="2" fontId="6" fillId="9" borderId="7" xfId="0" applyNumberFormat="1" applyFont="1" applyFill="1" applyBorder="1"/>
    <xf numFmtId="0" fontId="6" fillId="9" borderId="13" xfId="0" applyFont="1" applyFill="1" applyBorder="1"/>
    <xf numFmtId="0" fontId="0" fillId="9" borderId="13" xfId="0" applyFill="1" applyBorder="1"/>
    <xf numFmtId="1" fontId="0" fillId="0" borderId="7" xfId="0" applyNumberFormat="1" applyBorder="1"/>
    <xf numFmtId="0" fontId="0" fillId="5" borderId="7" xfId="0" applyFill="1" applyBorder="1"/>
    <xf numFmtId="165" fontId="0" fillId="0" borderId="7" xfId="0" applyNumberFormat="1" applyBorder="1"/>
    <xf numFmtId="0" fontId="25" fillId="11" borderId="51" xfId="0" applyFont="1" applyFill="1" applyBorder="1"/>
    <xf numFmtId="2" fontId="25" fillId="11" borderId="41" xfId="0" applyNumberFormat="1" applyFont="1" applyFill="1" applyBorder="1"/>
    <xf numFmtId="0" fontId="25" fillId="11" borderId="42" xfId="0" applyFont="1" applyFill="1" applyBorder="1"/>
    <xf numFmtId="0" fontId="3" fillId="5" borderId="52" xfId="0" applyFont="1" applyFill="1" applyBorder="1"/>
    <xf numFmtId="2" fontId="3" fillId="5" borderId="30" xfId="0" applyNumberFormat="1" applyFont="1" applyFill="1" applyBorder="1"/>
    <xf numFmtId="0" fontId="3" fillId="5" borderId="30" xfId="0" applyFont="1" applyFill="1" applyBorder="1"/>
    <xf numFmtId="0" fontId="17" fillId="5" borderId="28" xfId="0" applyFont="1" applyFill="1" applyBorder="1"/>
    <xf numFmtId="0" fontId="14" fillId="4" borderId="17" xfId="0" applyFont="1" applyFill="1" applyBorder="1"/>
    <xf numFmtId="0" fontId="3" fillId="4" borderId="6" xfId="0" applyFont="1" applyFill="1" applyBorder="1"/>
    <xf numFmtId="0" fontId="3" fillId="4" borderId="16" xfId="0" applyFont="1" applyFill="1" applyBorder="1"/>
    <xf numFmtId="0" fontId="3" fillId="0" borderId="53" xfId="0" applyFont="1" applyBorder="1"/>
    <xf numFmtId="2" fontId="3" fillId="0" borderId="54" xfId="0" applyNumberFormat="1" applyFont="1" applyBorder="1" applyAlignment="1">
      <alignment horizontal="right"/>
    </xf>
    <xf numFmtId="0" fontId="3" fillId="0" borderId="54" xfId="0" applyFont="1" applyBorder="1"/>
    <xf numFmtId="165" fontId="0" fillId="11" borderId="7" xfId="0" applyNumberFormat="1" applyFill="1" applyBorder="1"/>
    <xf numFmtId="0" fontId="0" fillId="0" borderId="30" xfId="0" applyBorder="1"/>
    <xf numFmtId="165" fontId="0" fillId="0" borderId="30" xfId="0" applyNumberFormat="1" applyBorder="1"/>
    <xf numFmtId="2" fontId="25" fillId="5" borderId="41" xfId="0" applyNumberFormat="1" applyFont="1" applyFill="1" applyBorder="1"/>
    <xf numFmtId="0" fontId="25" fillId="5" borderId="42" xfId="0" applyFont="1" applyFill="1" applyBorder="1"/>
    <xf numFmtId="2" fontId="0" fillId="0" borderId="0" xfId="0" applyNumberFormat="1" applyAlignment="1" applyProtection="1">
      <alignment horizontal="left"/>
      <protection locked="0"/>
    </xf>
    <xf numFmtId="0" fontId="6" fillId="0" borderId="50" xfId="0" applyFont="1" applyBorder="1"/>
    <xf numFmtId="0" fontId="14" fillId="4" borderId="13" xfId="0" applyFont="1" applyFill="1" applyBorder="1"/>
    <xf numFmtId="2" fontId="3" fillId="4" borderId="0" xfId="0" applyNumberFormat="1" applyFont="1" applyFill="1"/>
    <xf numFmtId="0" fontId="3" fillId="4" borderId="0" xfId="0" applyFont="1" applyFill="1"/>
    <xf numFmtId="0" fontId="0" fillId="0" borderId="52" xfId="0" applyBorder="1"/>
    <xf numFmtId="0" fontId="0" fillId="0" borderId="17" xfId="0" applyBorder="1"/>
    <xf numFmtId="0" fontId="25" fillId="5" borderId="51" xfId="0" applyFont="1" applyFill="1" applyBorder="1"/>
    <xf numFmtId="0" fontId="3" fillId="0" borderId="52" xfId="0" applyFont="1" applyBorder="1"/>
    <xf numFmtId="0" fontId="14" fillId="4" borderId="52" xfId="0" applyFont="1" applyFill="1" applyBorder="1"/>
    <xf numFmtId="0" fontId="0" fillId="0" borderId="53" xfId="0" applyBorder="1" applyProtection="1">
      <protection locked="0"/>
    </xf>
    <xf numFmtId="2" fontId="0" fillId="0" borderId="54" xfId="0" applyNumberFormat="1" applyBorder="1" applyAlignment="1">
      <alignment horizontal="right"/>
    </xf>
    <xf numFmtId="0" fontId="0" fillId="0" borderId="54" xfId="0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23" fillId="4" borderId="20" xfId="1" applyFont="1" applyFill="1" applyBorder="1" applyAlignment="1">
      <alignment horizontal="center" vertical="center"/>
    </xf>
    <xf numFmtId="0" fontId="23" fillId="4" borderId="21" xfId="1" applyFont="1" applyFill="1" applyBorder="1" applyAlignment="1">
      <alignment horizontal="center" vertical="center"/>
    </xf>
    <xf numFmtId="0" fontId="23" fillId="4" borderId="22" xfId="1" applyFont="1" applyFill="1" applyBorder="1" applyAlignment="1">
      <alignment horizontal="center" vertical="center"/>
    </xf>
    <xf numFmtId="0" fontId="23" fillId="4" borderId="25" xfId="1" applyFont="1" applyFill="1" applyBorder="1" applyAlignment="1">
      <alignment horizontal="center" vertical="center"/>
    </xf>
    <xf numFmtId="0" fontId="23" fillId="4" borderId="26" xfId="1" applyFont="1" applyFill="1" applyBorder="1" applyAlignment="1">
      <alignment horizontal="center" vertical="center"/>
    </xf>
    <xf numFmtId="0" fontId="23" fillId="4" borderId="27" xfId="1" applyFont="1" applyFill="1" applyBorder="1" applyAlignment="1">
      <alignment horizontal="center" vertical="center"/>
    </xf>
    <xf numFmtId="0" fontId="23" fillId="8" borderId="20" xfId="1" applyFont="1" applyFill="1" applyBorder="1" applyAlignment="1">
      <alignment horizontal="center" vertical="center"/>
    </xf>
    <xf numFmtId="0" fontId="23" fillId="8" borderId="21" xfId="1" applyFont="1" applyFill="1" applyBorder="1" applyAlignment="1">
      <alignment horizontal="center" vertical="center"/>
    </xf>
    <xf numFmtId="0" fontId="23" fillId="8" borderId="22" xfId="1" applyFont="1" applyFill="1" applyBorder="1" applyAlignment="1">
      <alignment horizontal="center" vertical="center"/>
    </xf>
    <xf numFmtId="0" fontId="23" fillId="8" borderId="25" xfId="1" applyFont="1" applyFill="1" applyBorder="1" applyAlignment="1">
      <alignment horizontal="center" vertical="center"/>
    </xf>
    <xf numFmtId="0" fontId="23" fillId="8" borderId="26" xfId="1" applyFont="1" applyFill="1" applyBorder="1" applyAlignment="1">
      <alignment horizontal="center" vertical="center"/>
    </xf>
    <xf numFmtId="0" fontId="23" fillId="8" borderId="27" xfId="1" applyFont="1" applyFill="1" applyBorder="1" applyAlignment="1">
      <alignment horizontal="center" vertical="center"/>
    </xf>
    <xf numFmtId="0" fontId="23" fillId="7" borderId="20" xfId="1" applyFont="1" applyFill="1" applyBorder="1" applyAlignment="1">
      <alignment horizontal="center" vertical="center"/>
    </xf>
    <xf numFmtId="0" fontId="23" fillId="7" borderId="21" xfId="1" applyFont="1" applyFill="1" applyBorder="1" applyAlignment="1">
      <alignment horizontal="center" vertical="center"/>
    </xf>
    <xf numFmtId="0" fontId="23" fillId="7" borderId="22" xfId="1" applyFont="1" applyFill="1" applyBorder="1" applyAlignment="1">
      <alignment horizontal="center" vertical="center"/>
    </xf>
    <xf numFmtId="0" fontId="23" fillId="7" borderId="25" xfId="1" applyFont="1" applyFill="1" applyBorder="1" applyAlignment="1">
      <alignment horizontal="center" vertical="center"/>
    </xf>
    <xf numFmtId="0" fontId="23" fillId="7" borderId="26" xfId="1" applyFont="1" applyFill="1" applyBorder="1" applyAlignment="1">
      <alignment horizontal="center" vertical="center"/>
    </xf>
    <xf numFmtId="0" fontId="23" fillId="7" borderId="27" xfId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/>
    </xf>
    <xf numFmtId="0" fontId="19" fillId="4" borderId="26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0" fillId="7" borderId="20" xfId="1" applyFill="1" applyBorder="1" applyAlignment="1">
      <alignment horizontal="center" vertical="center"/>
    </xf>
    <xf numFmtId="0" fontId="10" fillId="7" borderId="21" xfId="1" applyFill="1" applyBorder="1" applyAlignment="1">
      <alignment horizontal="center" vertical="center"/>
    </xf>
    <xf numFmtId="0" fontId="10" fillId="7" borderId="48" xfId="1" applyFill="1" applyBorder="1" applyAlignment="1">
      <alignment horizontal="center" vertical="center"/>
    </xf>
    <xf numFmtId="0" fontId="10" fillId="7" borderId="25" xfId="1" applyFill="1" applyBorder="1" applyAlignment="1">
      <alignment horizontal="center" vertical="center"/>
    </xf>
    <xf numFmtId="0" fontId="10" fillId="7" borderId="26" xfId="1" applyFill="1" applyBorder="1" applyAlignment="1">
      <alignment horizontal="center" vertical="center"/>
    </xf>
    <xf numFmtId="0" fontId="10" fillId="7" borderId="47" xfId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left"/>
    </xf>
    <xf numFmtId="0" fontId="14" fillId="4" borderId="7" xfId="0" applyFont="1" applyFill="1" applyBorder="1" applyAlignment="1">
      <alignment horizontal="left"/>
    </xf>
    <xf numFmtId="0" fontId="10" fillId="7" borderId="55" xfId="1" applyFill="1" applyBorder="1" applyAlignment="1">
      <alignment horizontal="center" vertical="center"/>
    </xf>
    <xf numFmtId="0" fontId="10" fillId="7" borderId="56" xfId="1" applyFill="1" applyBorder="1" applyAlignment="1">
      <alignment horizontal="center" vertical="center"/>
    </xf>
    <xf numFmtId="0" fontId="10" fillId="7" borderId="57" xfId="1" applyFill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 textRotation="90"/>
      <protection locked="0"/>
    </xf>
    <xf numFmtId="0" fontId="3" fillId="0" borderId="38" xfId="0" applyFont="1" applyBorder="1" applyAlignment="1" applyProtection="1">
      <alignment horizontal="center" vertical="center" textRotation="90"/>
      <protection locked="0"/>
    </xf>
    <xf numFmtId="0" fontId="3" fillId="0" borderId="32" xfId="0" applyFont="1" applyBorder="1" applyAlignment="1">
      <alignment horizontal="center" vertical="center" textRotation="90"/>
    </xf>
    <xf numFmtId="0" fontId="3" fillId="0" borderId="37" xfId="0" applyFont="1" applyBorder="1" applyAlignment="1">
      <alignment horizontal="center" vertical="center" textRotation="90"/>
    </xf>
    <xf numFmtId="0" fontId="3" fillId="0" borderId="39" xfId="0" applyFont="1" applyBorder="1" applyAlignment="1">
      <alignment horizontal="center" vertical="center" textRotation="90"/>
    </xf>
    <xf numFmtId="0" fontId="20" fillId="4" borderId="20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10" fillId="7" borderId="22" xfId="1" applyFill="1" applyBorder="1" applyAlignment="1">
      <alignment horizontal="center" vertical="center"/>
    </xf>
    <xf numFmtId="0" fontId="10" fillId="7" borderId="27" xfId="1" applyFill="1" applyBorder="1" applyAlignment="1">
      <alignment horizontal="center" vertical="center"/>
    </xf>
    <xf numFmtId="0" fontId="10" fillId="10" borderId="20" xfId="1" applyFill="1" applyBorder="1" applyAlignment="1">
      <alignment horizontal="center" vertical="center"/>
    </xf>
    <xf numFmtId="0" fontId="10" fillId="10" borderId="22" xfId="1" applyFill="1" applyBorder="1" applyAlignment="1">
      <alignment horizontal="center" vertical="center"/>
    </xf>
    <xf numFmtId="0" fontId="10" fillId="10" borderId="25" xfId="1" applyFill="1" applyBorder="1" applyAlignment="1">
      <alignment horizontal="center" vertical="center"/>
    </xf>
    <xf numFmtId="0" fontId="10" fillId="10" borderId="27" xfId="1" applyFill="1" applyBorder="1" applyAlignment="1">
      <alignment horizontal="center" vertical="center"/>
    </xf>
    <xf numFmtId="0" fontId="10" fillId="8" borderId="20" xfId="1" applyFill="1" applyBorder="1" applyAlignment="1">
      <alignment horizontal="center" vertical="center"/>
    </xf>
    <xf numFmtId="0" fontId="10" fillId="8" borderId="22" xfId="1" applyFill="1" applyBorder="1" applyAlignment="1">
      <alignment horizontal="center" vertical="center"/>
    </xf>
    <xf numFmtId="0" fontId="10" fillId="8" borderId="25" xfId="1" applyFill="1" applyBorder="1" applyAlignment="1">
      <alignment horizontal="center" vertical="center"/>
    </xf>
    <xf numFmtId="0" fontId="10" fillId="8" borderId="27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1CF5-85CB-43E8-8643-ADE6C8546AAE}">
  <sheetPr>
    <pageSetUpPr fitToPage="1"/>
  </sheetPr>
  <dimension ref="A1:Q111"/>
  <sheetViews>
    <sheetView topLeftCell="A56" zoomScaleNormal="100" workbookViewId="0">
      <selection activeCell="D75" sqref="D75"/>
    </sheetView>
  </sheetViews>
  <sheetFormatPr defaultRowHeight="15" x14ac:dyDescent="0.25"/>
  <cols>
    <col min="2" max="2" width="33.5703125" customWidth="1"/>
    <col min="3" max="3" width="24.5703125" customWidth="1"/>
    <col min="4" max="4" width="10.5703125" customWidth="1"/>
    <col min="5" max="5" width="16.7109375" bestFit="1" customWidth="1"/>
  </cols>
  <sheetData>
    <row r="1" spans="1:9" ht="24" thickTop="1" x14ac:dyDescent="0.35">
      <c r="A1" s="172" t="s">
        <v>0</v>
      </c>
      <c r="B1" s="173"/>
      <c r="C1" s="173"/>
      <c r="D1" s="173"/>
      <c r="E1" s="173"/>
      <c r="F1" s="173"/>
      <c r="G1" s="173"/>
      <c r="H1" s="173"/>
      <c r="I1" s="174"/>
    </row>
    <row r="2" spans="1:9" ht="18.75" x14ac:dyDescent="0.3">
      <c r="A2" s="175" t="s">
        <v>1</v>
      </c>
      <c r="B2" s="176"/>
      <c r="C2" s="176"/>
      <c r="D2" s="176"/>
      <c r="E2" s="176"/>
      <c r="F2" s="176"/>
      <c r="G2" s="176"/>
      <c r="H2" s="176"/>
      <c r="I2" s="177"/>
    </row>
    <row r="3" spans="1:9" x14ac:dyDescent="0.25">
      <c r="A3" s="9" t="s">
        <v>2</v>
      </c>
      <c r="B3" s="178">
        <v>61401</v>
      </c>
      <c r="C3" s="178"/>
      <c r="D3" s="8" t="s">
        <v>3</v>
      </c>
      <c r="E3" s="178">
        <v>32425</v>
      </c>
      <c r="F3" s="178"/>
      <c r="G3" s="178"/>
      <c r="H3" s="178"/>
      <c r="I3" s="179"/>
    </row>
    <row r="4" spans="1:9" x14ac:dyDescent="0.25">
      <c r="A4" s="9" t="s">
        <v>4</v>
      </c>
      <c r="B4" s="180" t="s">
        <v>235</v>
      </c>
      <c r="C4" s="181"/>
      <c r="D4" s="8" t="s">
        <v>5</v>
      </c>
      <c r="E4" s="178" t="s">
        <v>236</v>
      </c>
      <c r="F4" s="178"/>
      <c r="G4" s="178"/>
      <c r="H4" s="178"/>
      <c r="I4" s="179"/>
    </row>
    <row r="5" spans="1:9" x14ac:dyDescent="0.25">
      <c r="A5" s="10"/>
      <c r="I5" s="21"/>
    </row>
    <row r="6" spans="1:9" x14ac:dyDescent="0.25">
      <c r="A6" s="15" t="s">
        <v>6</v>
      </c>
      <c r="B6" s="14"/>
      <c r="C6" s="7" t="s">
        <v>237</v>
      </c>
      <c r="G6" s="99"/>
      <c r="I6" s="21"/>
    </row>
    <row r="7" spans="1:9" x14ac:dyDescent="0.25">
      <c r="A7" s="10"/>
      <c r="B7" t="s">
        <v>7</v>
      </c>
      <c r="I7" s="21"/>
    </row>
    <row r="8" spans="1:9" x14ac:dyDescent="0.25">
      <c r="A8" s="10"/>
      <c r="B8" s="1"/>
      <c r="C8" s="2"/>
      <c r="D8" s="2"/>
      <c r="E8" s="2"/>
      <c r="F8" s="2"/>
      <c r="G8" s="2"/>
      <c r="H8" s="2"/>
      <c r="I8" s="66"/>
    </row>
    <row r="9" spans="1:9" x14ac:dyDescent="0.25">
      <c r="A9" s="10"/>
      <c r="B9" s="3"/>
      <c r="I9" s="21"/>
    </row>
    <row r="10" spans="1:9" x14ac:dyDescent="0.25">
      <c r="A10" s="10"/>
      <c r="B10" s="3"/>
      <c r="I10" s="21"/>
    </row>
    <row r="11" spans="1:9" x14ac:dyDescent="0.25">
      <c r="A11" s="10"/>
      <c r="B11" s="4"/>
      <c r="C11" s="5"/>
      <c r="D11" s="5"/>
      <c r="E11" s="5"/>
      <c r="F11" s="5"/>
      <c r="G11" s="5"/>
      <c r="H11" s="5"/>
      <c r="I11" s="68"/>
    </row>
    <row r="12" spans="1:9" x14ac:dyDescent="0.25">
      <c r="A12" s="10"/>
      <c r="I12" s="21"/>
    </row>
    <row r="13" spans="1:9" x14ac:dyDescent="0.25">
      <c r="A13" s="15" t="s">
        <v>52</v>
      </c>
      <c r="B13" s="16"/>
      <c r="I13" s="21"/>
    </row>
    <row r="14" spans="1:9" x14ac:dyDescent="0.25">
      <c r="A14" s="10"/>
      <c r="B14" s="3" t="s">
        <v>51</v>
      </c>
      <c r="C14" s="2"/>
      <c r="D14" s="2"/>
      <c r="E14" s="2"/>
      <c r="F14" s="2"/>
      <c r="G14" s="2"/>
      <c r="H14" s="2"/>
      <c r="I14" s="66"/>
    </row>
    <row r="15" spans="1:9" x14ac:dyDescent="0.25">
      <c r="A15" s="10"/>
      <c r="B15" s="3"/>
      <c r="I15" s="21"/>
    </row>
    <row r="16" spans="1:9" x14ac:dyDescent="0.25">
      <c r="A16" s="10"/>
      <c r="B16" s="3"/>
      <c r="I16" s="21"/>
    </row>
    <row r="17" spans="1:9" x14ac:dyDescent="0.25">
      <c r="A17" s="10"/>
      <c r="B17" s="4"/>
      <c r="C17" s="5"/>
      <c r="D17" s="5"/>
      <c r="E17" s="5"/>
      <c r="F17" s="5"/>
      <c r="G17" s="5"/>
      <c r="H17" s="5"/>
      <c r="I17" s="68"/>
    </row>
    <row r="18" spans="1:9" x14ac:dyDescent="0.25">
      <c r="A18" s="10"/>
      <c r="I18" s="21"/>
    </row>
    <row r="19" spans="1:9" x14ac:dyDescent="0.25">
      <c r="A19" s="65" t="s">
        <v>187</v>
      </c>
      <c r="B19" s="100"/>
      <c r="I19" s="21"/>
    </row>
    <row r="20" spans="1:9" x14ac:dyDescent="0.25">
      <c r="A20" s="10"/>
      <c r="B20" s="1" t="s">
        <v>188</v>
      </c>
      <c r="C20" s="2"/>
      <c r="D20" s="2"/>
      <c r="E20" s="2"/>
      <c r="F20" s="2"/>
      <c r="G20" s="2"/>
      <c r="H20" s="2"/>
      <c r="I20" s="66"/>
    </row>
    <row r="21" spans="1:9" x14ac:dyDescent="0.25">
      <c r="A21" s="10"/>
      <c r="B21" s="3" t="s">
        <v>189</v>
      </c>
      <c r="I21" s="21"/>
    </row>
    <row r="22" spans="1:9" x14ac:dyDescent="0.25">
      <c r="A22" s="10"/>
      <c r="B22" s="67" t="s">
        <v>190</v>
      </c>
      <c r="I22" s="21"/>
    </row>
    <row r="23" spans="1:9" x14ac:dyDescent="0.25">
      <c r="A23" s="10"/>
      <c r="B23" s="3" t="s">
        <v>191</v>
      </c>
      <c r="I23" s="21"/>
    </row>
    <row r="24" spans="1:9" x14ac:dyDescent="0.25">
      <c r="A24" s="10"/>
      <c r="B24" s="3"/>
      <c r="I24" s="21"/>
    </row>
    <row r="25" spans="1:9" x14ac:dyDescent="0.25">
      <c r="A25" s="10"/>
      <c r="B25" s="3"/>
      <c r="I25" s="21"/>
    </row>
    <row r="26" spans="1:9" x14ac:dyDescent="0.25">
      <c r="A26" s="10"/>
      <c r="B26" s="4"/>
      <c r="C26" s="5"/>
      <c r="D26" s="5"/>
      <c r="E26" s="5"/>
      <c r="F26" s="5"/>
      <c r="G26" s="5"/>
      <c r="H26" s="5"/>
      <c r="I26" s="68"/>
    </row>
    <row r="27" spans="1:9" x14ac:dyDescent="0.25">
      <c r="A27" s="10"/>
      <c r="I27" s="21"/>
    </row>
    <row r="28" spans="1:9" x14ac:dyDescent="0.25">
      <c r="A28" s="15" t="s">
        <v>8</v>
      </c>
      <c r="B28" s="17"/>
      <c r="C28" s="7" t="s">
        <v>238</v>
      </c>
      <c r="E28" s="101" t="str">
        <f>IF(C28="High Temperature","Need venting in conveyor body and do not use if above 150 C",IF(C28="Outdoors","Need washdown motor/control box, SS fasteners, SS conveyor body",IF(C28="Hazardous","Need explosion proof motor? What class and division?","")))</f>
        <v>Need washdown motor/control box, SS fasteners, SS conveyor body</v>
      </c>
      <c r="I28" s="21"/>
    </row>
    <row r="29" spans="1:9" x14ac:dyDescent="0.25">
      <c r="A29" s="11"/>
      <c r="B29" s="102"/>
      <c r="E29" s="101"/>
      <c r="I29" s="21"/>
    </row>
    <row r="30" spans="1:9" x14ac:dyDescent="0.25">
      <c r="A30" s="15" t="s">
        <v>133</v>
      </c>
      <c r="B30" s="16"/>
      <c r="I30" s="21"/>
    </row>
    <row r="31" spans="1:9" x14ac:dyDescent="0.25">
      <c r="A31" s="10"/>
      <c r="B31" t="s">
        <v>9</v>
      </c>
      <c r="C31" s="6"/>
      <c r="I31" s="21"/>
    </row>
    <row r="32" spans="1:9" x14ac:dyDescent="0.25">
      <c r="A32" s="10"/>
      <c r="B32" t="s">
        <v>10</v>
      </c>
      <c r="C32" s="6"/>
      <c r="I32" s="21"/>
    </row>
    <row r="33" spans="1:9" x14ac:dyDescent="0.25">
      <c r="A33" s="10"/>
      <c r="B33" t="s">
        <v>11</v>
      </c>
      <c r="C33" s="7"/>
      <c r="E33" s="101" t="str">
        <f>IF(C33="Turning","Use magnetic only if turning chips are short and not stringers","")</f>
        <v/>
      </c>
      <c r="G33" s="99"/>
      <c r="I33" s="21"/>
    </row>
    <row r="34" spans="1:9" x14ac:dyDescent="0.25">
      <c r="A34" s="10"/>
      <c r="B34" s="171" t="s">
        <v>12</v>
      </c>
      <c r="C34" s="171"/>
      <c r="D34" s="171"/>
      <c r="E34" s="171"/>
      <c r="F34" s="7"/>
      <c r="I34" s="21"/>
    </row>
    <row r="35" spans="1:9" x14ac:dyDescent="0.25">
      <c r="A35" s="10"/>
      <c r="I35" s="21"/>
    </row>
    <row r="36" spans="1:9" x14ac:dyDescent="0.25">
      <c r="A36" s="15" t="s">
        <v>13</v>
      </c>
      <c r="B36" s="16"/>
      <c r="I36" s="21"/>
    </row>
    <row r="37" spans="1:9" x14ac:dyDescent="0.25">
      <c r="A37" s="10"/>
      <c r="B37" t="s">
        <v>14</v>
      </c>
      <c r="C37" s="7" t="s">
        <v>239</v>
      </c>
      <c r="E37" s="103" t="str">
        <f>IF(C37="Parts","If parts and using neo magnets - use manganese cover","")</f>
        <v>If parts and using neo magnets - use manganese cover</v>
      </c>
      <c r="I37" s="21"/>
    </row>
    <row r="38" spans="1:9" x14ac:dyDescent="0.25">
      <c r="A38" s="10"/>
      <c r="B38" t="s">
        <v>15</v>
      </c>
      <c r="C38" s="7" t="s">
        <v>240</v>
      </c>
      <c r="E38" s="101" t="str">
        <f>IF(C38="Aluminum","Cannot magnitize - should not be magnetic conveyor", IF(C38="Stainless Steel","Cannot magnitize - should not be magnetic conveyor",""))</f>
        <v/>
      </c>
      <c r="I38" s="21"/>
    </row>
    <row r="39" spans="1:9" x14ac:dyDescent="0.25">
      <c r="A39" s="10"/>
      <c r="B39" t="s">
        <v>16</v>
      </c>
      <c r="C39" s="7" t="s">
        <v>241</v>
      </c>
      <c r="D39" s="19"/>
      <c r="E39" s="101" t="str">
        <f>IF(C39="Stringers","Magnetic conveyor is a poor option due to magnet bridging", IF(C39="Bird Nests","Magnetic conveyor is a poor option due to magnet bridging",""))</f>
        <v/>
      </c>
      <c r="I39" s="21"/>
    </row>
    <row r="40" spans="1:9" x14ac:dyDescent="0.25">
      <c r="A40" s="10"/>
      <c r="B40" t="s">
        <v>41</v>
      </c>
      <c r="C40" s="104" t="s">
        <v>69</v>
      </c>
      <c r="D40" s="6"/>
      <c r="E40" s="105" t="s">
        <v>60</v>
      </c>
      <c r="I40" s="21"/>
    </row>
    <row r="41" spans="1:9" x14ac:dyDescent="0.25">
      <c r="A41" s="10"/>
      <c r="C41" s="104" t="s">
        <v>70</v>
      </c>
      <c r="D41" s="6"/>
      <c r="E41" s="105" t="s">
        <v>61</v>
      </c>
      <c r="I41" s="21"/>
    </row>
    <row r="42" spans="1:9" x14ac:dyDescent="0.25">
      <c r="A42" s="10"/>
      <c r="C42" s="104" t="s">
        <v>71</v>
      </c>
      <c r="D42" s="6"/>
      <c r="E42" s="104"/>
      <c r="I42" s="21"/>
    </row>
    <row r="43" spans="1:9" ht="17.25" x14ac:dyDescent="0.25">
      <c r="A43" s="10"/>
      <c r="B43" t="s">
        <v>135</v>
      </c>
      <c r="C43" s="6">
        <v>0.28000000000000003</v>
      </c>
      <c r="E43" s="106" t="s">
        <v>200</v>
      </c>
      <c r="I43" s="21"/>
    </row>
    <row r="44" spans="1:9" x14ac:dyDescent="0.25">
      <c r="A44" s="10"/>
      <c r="B44" t="s">
        <v>154</v>
      </c>
      <c r="C44" s="6"/>
      <c r="I44" s="21"/>
    </row>
    <row r="45" spans="1:9" x14ac:dyDescent="0.25">
      <c r="A45" s="10"/>
      <c r="B45" t="s">
        <v>68</v>
      </c>
      <c r="C45" s="24"/>
      <c r="E45" s="107" t="s">
        <v>72</v>
      </c>
      <c r="I45" s="21"/>
    </row>
    <row r="46" spans="1:9" x14ac:dyDescent="0.25">
      <c r="A46" s="10"/>
      <c r="C46" s="104"/>
      <c r="D46" s="19"/>
      <c r="E46" s="107" t="s">
        <v>73</v>
      </c>
      <c r="I46" s="21"/>
    </row>
    <row r="47" spans="1:9" x14ac:dyDescent="0.25">
      <c r="A47" s="10"/>
      <c r="C47" s="104"/>
      <c r="D47" s="19"/>
      <c r="E47" s="107" t="s">
        <v>74</v>
      </c>
      <c r="I47" s="21"/>
    </row>
    <row r="48" spans="1:9" x14ac:dyDescent="0.25">
      <c r="A48" s="10"/>
      <c r="C48" s="104"/>
      <c r="D48" s="19"/>
      <c r="E48" s="107" t="s">
        <v>75</v>
      </c>
      <c r="I48" s="21"/>
    </row>
    <row r="49" spans="1:11" x14ac:dyDescent="0.25">
      <c r="A49" s="10"/>
      <c r="B49" t="s">
        <v>134</v>
      </c>
      <c r="C49" s="6">
        <v>12000</v>
      </c>
      <c r="I49" s="21"/>
    </row>
    <row r="50" spans="1:11" x14ac:dyDescent="0.25">
      <c r="A50" s="10"/>
      <c r="B50" t="s">
        <v>194</v>
      </c>
      <c r="C50" s="6"/>
      <c r="I50" s="21"/>
    </row>
    <row r="51" spans="1:11" x14ac:dyDescent="0.25">
      <c r="A51" s="10"/>
      <c r="B51" t="s">
        <v>42</v>
      </c>
      <c r="C51" s="6"/>
      <c r="D51" s="169" t="s">
        <v>39</v>
      </c>
      <c r="E51" s="170"/>
      <c r="F51" s="182"/>
      <c r="G51" s="183"/>
      <c r="I51" s="21"/>
    </row>
    <row r="52" spans="1:11" x14ac:dyDescent="0.25">
      <c r="A52" s="10"/>
      <c r="B52" t="s">
        <v>54</v>
      </c>
      <c r="C52" s="7" t="s">
        <v>242</v>
      </c>
      <c r="E52" s="108" t="str">
        <f>IF(C52="Red Hot","Magnetic conveyor is a poor choice","")</f>
        <v/>
      </c>
      <c r="I52" s="21"/>
    </row>
    <row r="53" spans="1:11" x14ac:dyDescent="0.25">
      <c r="A53" s="10"/>
      <c r="D53" s="99"/>
      <c r="E53" s="101"/>
      <c r="I53" s="21"/>
    </row>
    <row r="54" spans="1:11" x14ac:dyDescent="0.25">
      <c r="A54" s="10"/>
      <c r="B54" t="s">
        <v>17</v>
      </c>
      <c r="C54" s="7" t="s">
        <v>243</v>
      </c>
      <c r="E54" s="19"/>
      <c r="I54" s="21"/>
    </row>
    <row r="55" spans="1:11" x14ac:dyDescent="0.25">
      <c r="A55" s="10"/>
      <c r="B55" t="s">
        <v>18</v>
      </c>
      <c r="C55" s="7"/>
      <c r="E55" s="101" t="str">
        <f>IF(C55="Oil Based","Require SS rigidized cover",IF(C55="Water Soluble","Find out if there is oil build-up in the water, from ",""))</f>
        <v/>
      </c>
      <c r="I55" s="21"/>
    </row>
    <row r="56" spans="1:11" x14ac:dyDescent="0.25">
      <c r="A56" s="10"/>
      <c r="C56" s="2"/>
      <c r="E56" s="101" t="str">
        <f>IF(C55="Water Soluble","continuous seeping of oil into water. If yes, then need","")</f>
        <v/>
      </c>
      <c r="I56" s="21"/>
    </row>
    <row r="57" spans="1:11" x14ac:dyDescent="0.25">
      <c r="A57" s="10"/>
      <c r="E57" s="101" t="str">
        <f>IF(C55="Water Soluble","SS rigidized cover. If not, then regular SS cover","")</f>
        <v/>
      </c>
      <c r="I57" s="21"/>
    </row>
    <row r="58" spans="1:11" x14ac:dyDescent="0.25">
      <c r="A58" s="10"/>
      <c r="B58" t="s">
        <v>40</v>
      </c>
      <c r="C58" s="6"/>
      <c r="E58" s="109" t="str">
        <f>IF(C58&gt;50,"Use hopper, weirs and strong magnets when processing fines","")</f>
        <v/>
      </c>
      <c r="I58" s="21"/>
    </row>
    <row r="59" spans="1:11" x14ac:dyDescent="0.25">
      <c r="A59" s="10"/>
      <c r="E59" s="107"/>
      <c r="I59" s="21"/>
      <c r="K59" s="19"/>
    </row>
    <row r="60" spans="1:11" x14ac:dyDescent="0.25">
      <c r="A60" s="15" t="s">
        <v>19</v>
      </c>
      <c r="B60" s="18"/>
      <c r="I60" s="21"/>
    </row>
    <row r="61" spans="1:11" x14ac:dyDescent="0.25">
      <c r="A61" s="10"/>
      <c r="B61" t="s">
        <v>20</v>
      </c>
      <c r="C61" s="7" t="s">
        <v>244</v>
      </c>
      <c r="D61" s="99"/>
      <c r="I61" s="21"/>
    </row>
    <row r="62" spans="1:11" x14ac:dyDescent="0.25">
      <c r="A62" s="10"/>
      <c r="B62" t="s">
        <v>43</v>
      </c>
      <c r="C62" s="23">
        <v>119.375</v>
      </c>
      <c r="E62" s="109" t="str">
        <f>IF(C62&lt;39,"Custom tail tracks and tail end are required - ref. job 29319", "")</f>
        <v/>
      </c>
      <c r="I62" s="21"/>
    </row>
    <row r="63" spans="1:11" x14ac:dyDescent="0.25">
      <c r="A63" s="10"/>
      <c r="B63" t="s">
        <v>44</v>
      </c>
      <c r="C63" s="23">
        <v>336</v>
      </c>
      <c r="E63" s="107" t="s">
        <v>199</v>
      </c>
      <c r="I63" s="21"/>
    </row>
    <row r="64" spans="1:11" x14ac:dyDescent="0.25">
      <c r="A64" s="10"/>
      <c r="B64" t="s">
        <v>45</v>
      </c>
      <c r="C64" s="7">
        <v>75</v>
      </c>
      <c r="I64" s="21"/>
    </row>
    <row r="65" spans="1:17" x14ac:dyDescent="0.25">
      <c r="A65" s="10"/>
      <c r="C65" s="98"/>
      <c r="I65" s="21"/>
    </row>
    <row r="66" spans="1:17" x14ac:dyDescent="0.25">
      <c r="A66" s="10"/>
      <c r="B66" t="s">
        <v>136</v>
      </c>
      <c r="C66" s="6">
        <v>28</v>
      </c>
      <c r="E66" s="107" t="s">
        <v>56</v>
      </c>
      <c r="I66" s="21"/>
    </row>
    <row r="67" spans="1:17" x14ac:dyDescent="0.25">
      <c r="A67" s="10"/>
      <c r="C67" s="2"/>
      <c r="E67" s="107" t="s">
        <v>55</v>
      </c>
      <c r="I67" s="21"/>
    </row>
    <row r="68" spans="1:17" x14ac:dyDescent="0.25">
      <c r="A68" s="10"/>
      <c r="C68" s="5"/>
      <c r="E68" s="106"/>
      <c r="I68" s="21"/>
    </row>
    <row r="69" spans="1:17" x14ac:dyDescent="0.25">
      <c r="A69" s="10"/>
      <c r="B69" t="s">
        <v>49</v>
      </c>
      <c r="C69" s="7">
        <v>12</v>
      </c>
      <c r="D69" s="19"/>
      <c r="E69" s="107" t="s">
        <v>57</v>
      </c>
      <c r="I69" s="21"/>
    </row>
    <row r="70" spans="1:17" x14ac:dyDescent="0.25">
      <c r="A70" s="10"/>
      <c r="C70" s="20"/>
      <c r="D70" s="19"/>
      <c r="E70" s="106"/>
      <c r="I70" s="21"/>
    </row>
    <row r="71" spans="1:17" x14ac:dyDescent="0.25">
      <c r="A71" s="10"/>
      <c r="B71" t="s">
        <v>21</v>
      </c>
      <c r="C71" s="6">
        <f>0.238*14</f>
        <v>3.3319999999999999</v>
      </c>
      <c r="D71" s="22" t="s">
        <v>132</v>
      </c>
      <c r="E71" s="107" t="s">
        <v>58</v>
      </c>
      <c r="I71" s="21"/>
    </row>
    <row r="72" spans="1:17" x14ac:dyDescent="0.25">
      <c r="A72" s="10"/>
      <c r="C72" s="2"/>
      <c r="E72" s="107" t="s">
        <v>62</v>
      </c>
      <c r="I72" s="21"/>
    </row>
    <row r="73" spans="1:17" x14ac:dyDescent="0.25">
      <c r="A73" s="10"/>
      <c r="C73" s="5"/>
      <c r="E73" s="107" t="s">
        <v>63</v>
      </c>
      <c r="I73" s="21"/>
    </row>
    <row r="74" spans="1:17" x14ac:dyDescent="0.25">
      <c r="A74" s="10"/>
      <c r="B74" t="s">
        <v>46</v>
      </c>
      <c r="C74" s="43">
        <v>70</v>
      </c>
      <c r="E74" s="101" t="str">
        <f>IF(C74&gt;120,"Material could be flung off the end - OK for small chips but,","")</f>
        <v/>
      </c>
      <c r="I74" s="21"/>
      <c r="Q74" t="s">
        <v>213</v>
      </c>
    </row>
    <row r="75" spans="1:17" x14ac:dyDescent="0.25">
      <c r="A75" s="10"/>
      <c r="E75" s="101" t="str">
        <f>IF(C74&gt;120,"be careful with parts","")</f>
        <v/>
      </c>
      <c r="I75" s="21"/>
    </row>
    <row r="76" spans="1:17" x14ac:dyDescent="0.25">
      <c r="A76" s="15" t="s">
        <v>22</v>
      </c>
      <c r="B76" s="18"/>
      <c r="I76" s="21"/>
    </row>
    <row r="77" spans="1:17" x14ac:dyDescent="0.25">
      <c r="A77" s="10"/>
      <c r="B77" t="s">
        <v>23</v>
      </c>
      <c r="C77" s="7"/>
      <c r="D77" s="104" t="s">
        <v>24</v>
      </c>
      <c r="E77" s="6"/>
      <c r="I77" s="21"/>
    </row>
    <row r="78" spans="1:17" x14ac:dyDescent="0.25">
      <c r="A78" s="10"/>
      <c r="B78" t="s">
        <v>25</v>
      </c>
      <c r="C78" s="7"/>
      <c r="D78" s="104" t="s">
        <v>24</v>
      </c>
      <c r="E78" s="6"/>
      <c r="F78" s="101" t="str">
        <f>IF(C78="Yes","P/N: CASTSC-4030-SS-CLB","")</f>
        <v/>
      </c>
      <c r="I78" s="21"/>
    </row>
    <row r="79" spans="1:17" x14ac:dyDescent="0.25">
      <c r="A79" s="10"/>
      <c r="B79" t="s">
        <v>26</v>
      </c>
      <c r="C79" s="7"/>
      <c r="D79" s="104" t="s">
        <v>24</v>
      </c>
      <c r="E79" s="6"/>
      <c r="F79" s="101" t="str">
        <f>IF(C79="Yes","P/N: 6120K34","")</f>
        <v/>
      </c>
      <c r="I79" s="21"/>
    </row>
    <row r="80" spans="1:17" x14ac:dyDescent="0.25">
      <c r="A80" s="10"/>
      <c r="B80" t="s">
        <v>27</v>
      </c>
      <c r="C80" s="7"/>
      <c r="I80" s="21"/>
    </row>
    <row r="81" spans="1:9" x14ac:dyDescent="0.25">
      <c r="A81" s="10"/>
      <c r="B81" t="s">
        <v>28</v>
      </c>
      <c r="C81" s="7"/>
      <c r="I81" s="21"/>
    </row>
    <row r="82" spans="1:9" x14ac:dyDescent="0.25">
      <c r="A82" s="10"/>
      <c r="B82" t="s">
        <v>31</v>
      </c>
      <c r="C82" s="7"/>
      <c r="I82" s="21"/>
    </row>
    <row r="83" spans="1:9" x14ac:dyDescent="0.25">
      <c r="A83" s="15" t="s">
        <v>29</v>
      </c>
      <c r="B83" s="18"/>
      <c r="I83" s="21"/>
    </row>
    <row r="84" spans="1:9" x14ac:dyDescent="0.25">
      <c r="A84" s="10"/>
      <c r="B84" t="s">
        <v>48</v>
      </c>
      <c r="C84" s="7"/>
      <c r="E84" s="101" t="str">
        <f>IF(C84="110/1/60","Oversize motor HP by x1.5","")</f>
        <v/>
      </c>
      <c r="I84" s="21"/>
    </row>
    <row r="85" spans="1:9" x14ac:dyDescent="0.25">
      <c r="A85" s="10"/>
      <c r="B85" t="s">
        <v>47</v>
      </c>
      <c r="C85" s="7"/>
      <c r="D85" s="104" t="s">
        <v>34</v>
      </c>
      <c r="E85" s="6"/>
      <c r="I85" s="21"/>
    </row>
    <row r="86" spans="1:9" x14ac:dyDescent="0.25">
      <c r="A86" s="15" t="s">
        <v>53</v>
      </c>
      <c r="B86" s="18"/>
      <c r="I86" s="21"/>
    </row>
    <row r="87" spans="1:9" x14ac:dyDescent="0.25">
      <c r="A87" s="10"/>
      <c r="B87" t="s">
        <v>30</v>
      </c>
      <c r="C87" s="7"/>
      <c r="E87" s="107" t="s">
        <v>67</v>
      </c>
      <c r="I87" s="21"/>
    </row>
    <row r="88" spans="1:9" x14ac:dyDescent="0.25">
      <c r="A88" s="10"/>
      <c r="B88" t="s">
        <v>50</v>
      </c>
      <c r="C88" s="7"/>
      <c r="D88" s="103" t="str">
        <f>IF(C88="Custom","Set a meeting with MC3, customer and supplier of controls","")</f>
        <v/>
      </c>
      <c r="I88" s="21"/>
    </row>
    <row r="89" spans="1:9" x14ac:dyDescent="0.25">
      <c r="A89" s="10"/>
      <c r="C89" t="s">
        <v>32</v>
      </c>
      <c r="I89" s="21"/>
    </row>
    <row r="90" spans="1:9" x14ac:dyDescent="0.25">
      <c r="A90" s="10"/>
      <c r="C90" s="1"/>
      <c r="D90" s="2"/>
      <c r="E90" s="2"/>
      <c r="F90" s="2"/>
      <c r="G90" s="2"/>
      <c r="H90" s="2"/>
      <c r="I90" s="66"/>
    </row>
    <row r="91" spans="1:9" x14ac:dyDescent="0.25">
      <c r="A91" s="10"/>
      <c r="C91" s="3"/>
      <c r="I91" s="21"/>
    </row>
    <row r="92" spans="1:9" x14ac:dyDescent="0.25">
      <c r="A92" s="10"/>
      <c r="C92" s="3"/>
      <c r="I92" s="21"/>
    </row>
    <row r="93" spans="1:9" x14ac:dyDescent="0.25">
      <c r="A93" s="10"/>
      <c r="C93" s="3"/>
      <c r="I93" s="21"/>
    </row>
    <row r="94" spans="1:9" x14ac:dyDescent="0.25">
      <c r="A94" s="10"/>
      <c r="C94" s="4"/>
      <c r="D94" s="5"/>
      <c r="E94" s="5"/>
      <c r="F94" s="5"/>
      <c r="G94" s="5"/>
      <c r="H94" s="5"/>
      <c r="I94" s="68"/>
    </row>
    <row r="95" spans="1:9" x14ac:dyDescent="0.25">
      <c r="A95" s="15" t="s">
        <v>33</v>
      </c>
      <c r="B95" s="16"/>
      <c r="F95" s="2"/>
      <c r="G95" s="2"/>
      <c r="I95" s="21"/>
    </row>
    <row r="96" spans="1:9" x14ac:dyDescent="0.25">
      <c r="A96" s="11"/>
      <c r="B96" t="s">
        <v>33</v>
      </c>
      <c r="C96" s="7"/>
      <c r="E96" s="110"/>
      <c r="I96" s="21"/>
    </row>
    <row r="97" spans="1:9" x14ac:dyDescent="0.25">
      <c r="A97" s="11"/>
      <c r="B97" t="s">
        <v>64</v>
      </c>
      <c r="C97" s="7"/>
      <c r="F97" s="104"/>
      <c r="G97" s="104"/>
      <c r="H97" s="110"/>
      <c r="I97" s="111"/>
    </row>
    <row r="98" spans="1:9" x14ac:dyDescent="0.25">
      <c r="A98" s="11"/>
      <c r="B98" t="s">
        <v>65</v>
      </c>
      <c r="C98" s="7"/>
      <c r="F98" s="104"/>
      <c r="G98" s="104"/>
      <c r="H98" s="110"/>
      <c r="I98" s="111"/>
    </row>
    <row r="99" spans="1:9" x14ac:dyDescent="0.25">
      <c r="A99" s="11"/>
      <c r="B99" t="s">
        <v>66</v>
      </c>
      <c r="C99" s="6"/>
      <c r="F99" s="104"/>
      <c r="G99" s="104"/>
      <c r="H99" s="110"/>
      <c r="I99" s="111"/>
    </row>
    <row r="100" spans="1:9" x14ac:dyDescent="0.25">
      <c r="A100" s="15" t="s">
        <v>34</v>
      </c>
      <c r="B100" s="16"/>
      <c r="I100" s="21"/>
    </row>
    <row r="101" spans="1:9" x14ac:dyDescent="0.25">
      <c r="A101" s="10"/>
      <c r="B101" t="s">
        <v>35</v>
      </c>
      <c r="C101" s="7"/>
      <c r="E101" s="107" t="s">
        <v>59</v>
      </c>
      <c r="I101" s="21"/>
    </row>
    <row r="102" spans="1:9" x14ac:dyDescent="0.25">
      <c r="A102" s="10"/>
      <c r="B102" t="s">
        <v>36</v>
      </c>
      <c r="C102" s="7"/>
      <c r="I102" s="21"/>
    </row>
    <row r="103" spans="1:9" x14ac:dyDescent="0.25">
      <c r="A103" s="10"/>
      <c r="B103" t="s">
        <v>37</v>
      </c>
      <c r="C103" s="7"/>
      <c r="I103" s="21"/>
    </row>
    <row r="104" spans="1:9" x14ac:dyDescent="0.25">
      <c r="A104" s="10"/>
      <c r="C104" t="s">
        <v>38</v>
      </c>
      <c r="I104" s="21"/>
    </row>
    <row r="105" spans="1:9" x14ac:dyDescent="0.25">
      <c r="A105" s="10"/>
      <c r="C105" s="1"/>
      <c r="D105" s="2"/>
      <c r="E105" s="2"/>
      <c r="F105" s="2"/>
      <c r="G105" s="2"/>
      <c r="H105" s="2"/>
      <c r="I105" s="66"/>
    </row>
    <row r="106" spans="1:9" x14ac:dyDescent="0.25">
      <c r="A106" s="10"/>
      <c r="C106" s="3"/>
      <c r="I106" s="21"/>
    </row>
    <row r="107" spans="1:9" x14ac:dyDescent="0.25">
      <c r="A107" s="10"/>
      <c r="C107" s="3"/>
      <c r="I107" s="21"/>
    </row>
    <row r="108" spans="1:9" x14ac:dyDescent="0.25">
      <c r="A108" s="10"/>
      <c r="C108" s="3"/>
      <c r="I108" s="21"/>
    </row>
    <row r="109" spans="1:9" x14ac:dyDescent="0.25">
      <c r="A109" s="10"/>
      <c r="C109" s="4"/>
      <c r="D109" s="5"/>
      <c r="E109" s="5"/>
      <c r="F109" s="5"/>
      <c r="G109" s="5"/>
      <c r="H109" s="5"/>
      <c r="I109" s="68"/>
    </row>
    <row r="110" spans="1:9" ht="15.75" thickBot="1" x14ac:dyDescent="0.3">
      <c r="A110" s="12"/>
      <c r="B110" s="13"/>
      <c r="C110" s="13"/>
      <c r="D110" s="13"/>
      <c r="E110" s="13"/>
      <c r="F110" s="13"/>
      <c r="G110" s="13"/>
      <c r="H110" s="13"/>
      <c r="I110" s="112"/>
    </row>
    <row r="111" spans="1:9" ht="15.75" thickTop="1" x14ac:dyDescent="0.25"/>
  </sheetData>
  <mergeCells count="9">
    <mergeCell ref="D51:E51"/>
    <mergeCell ref="B34:E34"/>
    <mergeCell ref="A1:I1"/>
    <mergeCell ref="A2:I2"/>
    <mergeCell ref="B3:C3"/>
    <mergeCell ref="E3:I3"/>
    <mergeCell ref="E4:I4"/>
    <mergeCell ref="B4:C4"/>
    <mergeCell ref="F51:G51"/>
  </mergeCells>
  <dataValidations count="20">
    <dataValidation type="list" allowBlank="1" showInputMessage="1" showErrorMessage="1" sqref="C6" xr:uid="{0F796092-EE21-4E8E-A0F5-D2A4F3DBEF5F}">
      <formula1>" , MC3 Standard, Customer Specification"</formula1>
    </dataValidation>
    <dataValidation type="list" showInputMessage="1" showErrorMessage="1" sqref="C33" xr:uid="{B056D319-BD0E-416E-92D4-8F6E48F3B41F}">
      <formula1>"Cutting, Drilling, Grinding, Milling, Turning, Stamping, Broaching"</formula1>
    </dataValidation>
    <dataValidation type="list" allowBlank="1" showInputMessage="1" showErrorMessage="1" sqref="F34 C54 C77:C82 C87 C103" xr:uid="{39F4D831-BB69-41EE-9C50-304BF7413F59}">
      <formula1>"Yes, No"</formula1>
    </dataValidation>
    <dataValidation type="list" allowBlank="1" showInputMessage="1" showErrorMessage="1" sqref="C37" xr:uid="{154438D4-5B70-4F5B-9482-8434E7FA462E}">
      <formula1>"Chips, Parts, Scrap, Swarf"</formula1>
    </dataValidation>
    <dataValidation type="list" allowBlank="1" showInputMessage="1" showErrorMessage="1" sqref="C38" xr:uid="{3029F7F9-E0E7-4110-A19B-E5E5589A5CC0}">
      <formula1>"Steel, Aluminum, Stainless Steel, Cast Iron"</formula1>
    </dataValidation>
    <dataValidation type="list" allowBlank="1" showInputMessage="1" showErrorMessage="1" sqref="C39" xr:uid="{9FA95BB1-E13F-4975-B25C-5A6843670164}">
      <formula1>"Small, Large, Stringers, Bird Nests, Fines"</formula1>
    </dataValidation>
    <dataValidation type="list" allowBlank="1" showInputMessage="1" showErrorMessage="1" sqref="C55" xr:uid="{54E74552-FB02-4E92-B2E8-3FA561BAFBE7}">
      <formula1>"None, Minimal Residual Oil, Oil Based, Water Soluble"</formula1>
    </dataValidation>
    <dataValidation type="list" allowBlank="1" showInputMessage="1" showErrorMessage="1" sqref="C61" xr:uid="{F48E50DA-4F67-4D77-B939-BD0706496B66}">
      <formula1>"A, B, C, D"</formula1>
    </dataValidation>
    <dataValidation type="list" allowBlank="1" showInputMessage="1" showErrorMessage="1" sqref="C64" xr:uid="{05CDA73A-B3F5-44D6-A6B9-D646742F8ED9}">
      <formula1>"0, 5, 10 , 15, 30, 45, 60, 75, 90, Other"</formula1>
    </dataValidation>
    <dataValidation type="list" allowBlank="1" showInputMessage="1" showErrorMessage="1" sqref="C84" xr:uid="{9FAB74CD-69E8-4102-B43D-47990635924E}">
      <formula1>"480/3/60, 230/3/60, 575/3/60, 230/1/60, 110/1/60"</formula1>
    </dataValidation>
    <dataValidation type="list" allowBlank="1" showInputMessage="1" showErrorMessage="1" sqref="C85" xr:uid="{4A894D78-9595-45C6-B0D8-0CED15DABCF4}">
      <formula1>"Nord (standard), SEW, Other"</formula1>
    </dataValidation>
    <dataValidation type="list" allowBlank="1" showInputMessage="1" showErrorMessage="1" sqref="C69" xr:uid="{E112BF93-D203-45C7-A1D9-8B011371AB01}">
      <formula1>"12, 24, 36, 48"</formula1>
    </dataValidation>
    <dataValidation type="list" allowBlank="1" showInputMessage="1" showErrorMessage="1" sqref="C88" xr:uid="{4596F821-C70C-4B75-8C0F-8105055985DC}">
      <formula1>"Not Supplied, VFD+E-stop, VFD+E-stop+Dir. Buttons, Custom"</formula1>
    </dataValidation>
    <dataValidation type="list" allowBlank="1" showInputMessage="1" showErrorMessage="1" sqref="C101" xr:uid="{400EA0D8-4487-49EB-A1E3-500A85E84E6E}">
      <formula1>"Generic, Premium"</formula1>
    </dataValidation>
    <dataValidation type="list" allowBlank="1" showInputMessage="1" showErrorMessage="1" sqref="C102" xr:uid="{5E5C1465-B0D3-46F8-87C3-44A20BFFB8D8}">
      <formula1>"Standard, Custom"</formula1>
    </dataValidation>
    <dataValidation type="list" allowBlank="1" showInputMessage="1" showErrorMessage="1" sqref="C52" xr:uid="{C0FF85B6-D234-41ED-A9C5-9C1711099534}">
      <formula1>"Ambient, Warm, Hot, Red Hot"</formula1>
    </dataValidation>
    <dataValidation type="list" allowBlank="1" showInputMessage="1" showErrorMessage="1" sqref="C96" xr:uid="{858BA8D8-C4DA-4C91-B34A-D82284002E6E}">
      <formula1>"Blue 5015 + Yellow 1018, Blue 5015, Other, Custom"</formula1>
    </dataValidation>
    <dataValidation type="list" allowBlank="1" showInputMessage="1" showErrorMessage="1" sqref="C97" xr:uid="{5F6EE184-F579-4AFE-8573-DE737E4B38CF}">
      <formula1>"Blue 5005, Blue 5010, Blue 5012, Gloss Black 9004, Gloss Black 9005, Flat Black 9005, Red 3003"</formula1>
    </dataValidation>
    <dataValidation type="list" allowBlank="1" showInputMessage="1" showErrorMessage="1" sqref="C98" xr:uid="{24A62934-A1AE-486E-B192-9A494E3C2DB0}">
      <formula1>"Safety Yellow 1003, Orange 2009"</formula1>
    </dataValidation>
    <dataValidation type="list" allowBlank="1" showInputMessage="1" showErrorMessage="1" sqref="C28" xr:uid="{BF4CF180-B30A-4DC0-A4D7-0F26ECA5B548}">
      <formula1>"No Concern, High Temperature, Outdoors, Hazardous"</formula1>
    </dataValidation>
  </dataValidations>
  <hyperlinks>
    <hyperlink ref="D71" location="Navigator!A1" display="Calculator" xr:uid="{C72A6B38-034A-43E6-91B3-0A297B8F7D43}"/>
  </hyperlinks>
  <pageMargins left="0.70866141732283472" right="0.70866141732283472" top="0.74803149606299213" bottom="0.74803149606299213" header="0.31496062992125984" footer="0.31496062992125984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C5B7-21FC-481D-BFD7-992208758AD7}">
  <dimension ref="A1:V11"/>
  <sheetViews>
    <sheetView workbookViewId="0">
      <selection sqref="A1:G2"/>
    </sheetView>
  </sheetViews>
  <sheetFormatPr defaultColWidth="9.140625" defaultRowHeight="15" x14ac:dyDescent="0.25"/>
  <cols>
    <col min="1" max="1" width="32.85546875" customWidth="1"/>
    <col min="2" max="2" width="7.7109375" bestFit="1" customWidth="1"/>
    <col min="3" max="3" width="8.140625" bestFit="1" customWidth="1"/>
    <col min="4" max="4" width="11.28515625" style="26" customWidth="1"/>
    <col min="5" max="5" width="19.42578125" customWidth="1"/>
    <col min="6" max="6" width="9.5703125" customWidth="1"/>
    <col min="8" max="8" width="36.140625" customWidth="1"/>
    <col min="9" max="9" width="14.28515625" bestFit="1" customWidth="1"/>
    <col min="10" max="10" width="11.5703125" bestFit="1" customWidth="1"/>
    <col min="11" max="11" width="15.7109375" customWidth="1"/>
    <col min="12" max="12" width="15.85546875" customWidth="1"/>
    <col min="13" max="13" width="36" bestFit="1" customWidth="1"/>
    <col min="14" max="14" width="6.5703125" bestFit="1" customWidth="1"/>
    <col min="15" max="15" width="13.5703125" bestFit="1" customWidth="1"/>
  </cols>
  <sheetData>
    <row r="1" spans="1:22" ht="15" customHeight="1" x14ac:dyDescent="0.25">
      <c r="A1" s="184" t="s">
        <v>192</v>
      </c>
      <c r="B1" s="185"/>
      <c r="C1" s="185"/>
      <c r="D1" s="185"/>
      <c r="E1" s="185"/>
      <c r="F1" s="185"/>
      <c r="G1" s="186"/>
      <c r="N1" s="53"/>
      <c r="O1" s="53"/>
      <c r="P1" s="53"/>
      <c r="Q1" s="53"/>
      <c r="R1" s="53"/>
      <c r="S1" s="53"/>
      <c r="T1" s="53"/>
      <c r="U1" s="53"/>
      <c r="V1" s="53"/>
    </row>
    <row r="2" spans="1:22" ht="15" customHeight="1" thickBot="1" x14ac:dyDescent="0.3">
      <c r="A2" s="187"/>
      <c r="B2" s="188"/>
      <c r="C2" s="188"/>
      <c r="D2" s="188"/>
      <c r="E2" s="188"/>
      <c r="F2" s="188"/>
      <c r="G2" s="189"/>
      <c r="N2" s="53"/>
      <c r="O2" s="53"/>
      <c r="P2" s="53"/>
      <c r="Q2" s="53"/>
      <c r="R2" s="53"/>
      <c r="S2" s="53"/>
      <c r="T2" s="53"/>
      <c r="U2" s="53"/>
      <c r="V2" s="53"/>
    </row>
    <row r="3" spans="1:22" ht="15.75" thickBot="1" x14ac:dyDescent="0.3"/>
    <row r="4" spans="1:22" ht="15" customHeight="1" x14ac:dyDescent="0.25">
      <c r="A4" s="190" t="s">
        <v>198</v>
      </c>
      <c r="B4" s="191"/>
      <c r="C4" s="191"/>
      <c r="D4" s="191"/>
      <c r="E4" s="191"/>
      <c r="F4" s="191"/>
      <c r="G4" s="192"/>
    </row>
    <row r="5" spans="1:22" ht="15.75" customHeight="1" thickBot="1" x14ac:dyDescent="0.3">
      <c r="A5" s="193"/>
      <c r="B5" s="194"/>
      <c r="C5" s="194"/>
      <c r="D5" s="194"/>
      <c r="E5" s="194"/>
      <c r="F5" s="194"/>
      <c r="G5" s="195"/>
    </row>
    <row r="6" spans="1:22" ht="15.75" thickBot="1" x14ac:dyDescent="0.3">
      <c r="D6"/>
    </row>
    <row r="7" spans="1:22" x14ac:dyDescent="0.25">
      <c r="A7" s="196" t="s">
        <v>193</v>
      </c>
      <c r="B7" s="197"/>
      <c r="C7" s="197"/>
      <c r="D7" s="197"/>
      <c r="E7" s="197"/>
      <c r="F7" s="197"/>
      <c r="G7" s="198"/>
    </row>
    <row r="8" spans="1:22" ht="15.75" thickBot="1" x14ac:dyDescent="0.3">
      <c r="A8" s="199"/>
      <c r="B8" s="200"/>
      <c r="C8" s="200"/>
      <c r="D8" s="200"/>
      <c r="E8" s="200"/>
      <c r="F8" s="200"/>
      <c r="G8" s="201"/>
    </row>
    <row r="9" spans="1:22" x14ac:dyDescent="0.25">
      <c r="D9"/>
    </row>
    <row r="10" spans="1:22" x14ac:dyDescent="0.25">
      <c r="D10"/>
    </row>
    <row r="11" spans="1:22" x14ac:dyDescent="0.25">
      <c r="D11"/>
    </row>
  </sheetData>
  <sheetProtection algorithmName="SHA-512" hashValue="UWtXbgT2IfmEE5ux/gVxtslCVj7aRnJc67AL/KUR1n45quh6YTEIbGjI4U98czL9K/Nf7yU4Nx70tcwY6SioCQ==" saltValue="eyYNvb2+me8U0yG+/p/s6Q==" spinCount="100000" sheet="1" objects="1" scenarios="1"/>
  <mergeCells count="3">
    <mergeCell ref="A1:G2"/>
    <mergeCell ref="A4:G5"/>
    <mergeCell ref="A7:G8"/>
  </mergeCells>
  <hyperlinks>
    <hyperlink ref="A1:G2" location="'Chips.Swarf-Calculator'!A1" display="USE IF CONVEYING CHIPS/SWARF" xr:uid="{3F9E4FF7-8ECF-431C-8906-016240459765}"/>
    <hyperlink ref="A4:G5" location="'Parts.Scrap-Calculator'!A1" display="USE IF CONVEYING PARTS/SCRAP" xr:uid="{C1E76183-6799-4525-BDEE-79CDB961DC7D}"/>
    <hyperlink ref="A7:G8" location="'Application Design'!A1" display="RETURN TO APPLICATION DESIGN" xr:uid="{A8A262AA-E376-4359-98EA-363B3340A1F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5B4F-6BC4-4C2B-BAE5-FD37D15199B6}">
  <dimension ref="A1:P58"/>
  <sheetViews>
    <sheetView tabSelected="1" topLeftCell="A25" zoomScaleNormal="100" workbookViewId="0">
      <selection activeCell="I57" sqref="I56:I57"/>
    </sheetView>
  </sheetViews>
  <sheetFormatPr defaultColWidth="9.140625" defaultRowHeight="15" x14ac:dyDescent="0.25"/>
  <cols>
    <col min="1" max="1" width="32.85546875" customWidth="1"/>
    <col min="2" max="2" width="13.85546875" customWidth="1"/>
    <col min="3" max="3" width="9.42578125" customWidth="1"/>
    <col min="4" max="4" width="11.28515625" style="26" customWidth="1"/>
    <col min="5" max="5" width="19.42578125" customWidth="1"/>
    <col min="6" max="6" width="9.5703125" customWidth="1"/>
    <col min="8" max="8" width="6.5703125" bestFit="1" customWidth="1"/>
    <col min="9" max="9" width="13.5703125" bestFit="1" customWidth="1"/>
  </cols>
  <sheetData>
    <row r="1" spans="1:16" ht="12.75" customHeight="1" thickTop="1" x14ac:dyDescent="0.25">
      <c r="A1" s="202" t="s">
        <v>155</v>
      </c>
      <c r="B1" s="203"/>
      <c r="C1" s="203"/>
      <c r="D1" s="203"/>
      <c r="E1" s="203"/>
      <c r="F1" s="203"/>
      <c r="G1" s="204"/>
      <c r="H1" s="53"/>
      <c r="I1" s="53"/>
      <c r="J1" s="53"/>
      <c r="K1" s="53"/>
      <c r="L1" s="53"/>
      <c r="M1" s="53"/>
      <c r="N1" s="53"/>
      <c r="O1" s="53"/>
      <c r="P1" s="53"/>
    </row>
    <row r="2" spans="1:16" ht="12.75" customHeight="1" thickBot="1" x14ac:dyDescent="0.3">
      <c r="A2" s="205"/>
      <c r="B2" s="206"/>
      <c r="C2" s="206"/>
      <c r="D2" s="206"/>
      <c r="E2" s="206"/>
      <c r="F2" s="206"/>
      <c r="G2" s="207"/>
      <c r="H2" s="53"/>
      <c r="I2" s="53"/>
      <c r="J2" s="53"/>
      <c r="K2" s="53"/>
      <c r="L2" s="53"/>
      <c r="M2" s="53"/>
      <c r="N2" s="53"/>
      <c r="O2" s="53"/>
      <c r="P2" s="53"/>
    </row>
    <row r="3" spans="1:16" ht="15" customHeight="1" x14ac:dyDescent="0.25">
      <c r="A3" s="113" t="s">
        <v>153</v>
      </c>
      <c r="E3" s="208" t="s">
        <v>193</v>
      </c>
      <c r="F3" s="209"/>
      <c r="G3" s="210"/>
    </row>
    <row r="4" spans="1:16" ht="15.75" thickBot="1" x14ac:dyDescent="0.3">
      <c r="A4" s="10"/>
      <c r="E4" s="211"/>
      <c r="F4" s="212"/>
      <c r="G4" s="213"/>
    </row>
    <row r="5" spans="1:16" x14ac:dyDescent="0.25">
      <c r="A5" s="114" t="s">
        <v>163</v>
      </c>
      <c r="B5" s="27"/>
      <c r="C5" s="28"/>
      <c r="G5" s="21"/>
    </row>
    <row r="6" spans="1:16" ht="12.75" customHeight="1" x14ac:dyDescent="0.25">
      <c r="A6" s="115" t="s">
        <v>224</v>
      </c>
      <c r="B6" s="76">
        <f>'Application Design'!C62</f>
        <v>119.375</v>
      </c>
      <c r="C6" s="30" t="s">
        <v>76</v>
      </c>
      <c r="D6" s="31"/>
      <c r="G6" s="21"/>
    </row>
    <row r="7" spans="1:16" x14ac:dyDescent="0.25">
      <c r="A7" s="115" t="s">
        <v>78</v>
      </c>
      <c r="B7" s="76">
        <f>'Application Design'!C64</f>
        <v>75</v>
      </c>
      <c r="C7" s="30" t="s">
        <v>79</v>
      </c>
      <c r="D7" s="32"/>
      <c r="G7" s="21"/>
    </row>
    <row r="8" spans="1:16" x14ac:dyDescent="0.25">
      <c r="A8" s="115" t="s">
        <v>137</v>
      </c>
      <c r="B8" s="76">
        <f>'Application Design'!C63</f>
        <v>336</v>
      </c>
      <c r="C8" s="30" t="s">
        <v>76</v>
      </c>
      <c r="D8" s="32"/>
      <c r="G8" s="21"/>
    </row>
    <row r="9" spans="1:16" x14ac:dyDescent="0.25">
      <c r="A9" s="115" t="s">
        <v>86</v>
      </c>
      <c r="B9" s="131">
        <v>22</v>
      </c>
      <c r="C9" s="30" t="s">
        <v>76</v>
      </c>
      <c r="D9" s="35" t="s">
        <v>159</v>
      </c>
      <c r="G9" s="21"/>
    </row>
    <row r="10" spans="1:16" ht="12.75" customHeight="1" x14ac:dyDescent="0.25">
      <c r="A10" s="115" t="s">
        <v>89</v>
      </c>
      <c r="B10" s="76">
        <f>'Application Design'!C66</f>
        <v>28</v>
      </c>
      <c r="C10" s="30" t="s">
        <v>76</v>
      </c>
      <c r="D10" s="31"/>
      <c r="G10" s="21"/>
    </row>
    <row r="11" spans="1:16" x14ac:dyDescent="0.25">
      <c r="A11" s="115" t="s">
        <v>91</v>
      </c>
      <c r="B11" s="131">
        <v>2</v>
      </c>
      <c r="C11" s="30" t="s">
        <v>92</v>
      </c>
      <c r="D11" s="31"/>
      <c r="G11" s="21"/>
    </row>
    <row r="12" spans="1:16" x14ac:dyDescent="0.25">
      <c r="A12" s="116" t="s">
        <v>94</v>
      </c>
      <c r="B12" s="132">
        <f>'Application Design'!C74</f>
        <v>70</v>
      </c>
      <c r="C12" s="24" t="s">
        <v>95</v>
      </c>
      <c r="D12" s="32"/>
      <c r="E12" s="31"/>
      <c r="F12" s="39"/>
      <c r="G12" s="117"/>
    </row>
    <row r="13" spans="1:16" x14ac:dyDescent="0.25">
      <c r="A13" s="118" t="s">
        <v>96</v>
      </c>
      <c r="B13" s="76">
        <f>'Application Design'!C69</f>
        <v>12</v>
      </c>
      <c r="C13" s="30" t="s">
        <v>76</v>
      </c>
      <c r="F13" s="40"/>
      <c r="G13" s="119"/>
    </row>
    <row r="14" spans="1:16" x14ac:dyDescent="0.25">
      <c r="A14" s="115" t="s">
        <v>100</v>
      </c>
      <c r="B14" s="76">
        <f>'Application Design'!C49</f>
        <v>12000</v>
      </c>
      <c r="C14" s="30" t="s">
        <v>101</v>
      </c>
      <c r="D14" s="31"/>
      <c r="E14" s="39"/>
      <c r="F14" s="39"/>
      <c r="G14" s="117"/>
    </row>
    <row r="15" spans="1:16" x14ac:dyDescent="0.25">
      <c r="A15" s="120" t="s">
        <v>225</v>
      </c>
      <c r="B15" s="60">
        <v>1.5</v>
      </c>
      <c r="C15" s="6" t="s">
        <v>112</v>
      </c>
      <c r="D15" s="54" t="s">
        <v>176</v>
      </c>
      <c r="E15" s="93"/>
      <c r="F15" s="39"/>
      <c r="G15" s="117"/>
    </row>
    <row r="16" spans="1:16" x14ac:dyDescent="0.25">
      <c r="A16" s="114" t="s">
        <v>164</v>
      </c>
      <c r="B16" s="27"/>
      <c r="C16" s="28"/>
      <c r="D16" s="35"/>
      <c r="G16" s="21"/>
    </row>
    <row r="17" spans="1:7" x14ac:dyDescent="0.25">
      <c r="A17" s="133" t="s">
        <v>80</v>
      </c>
      <c r="B17" s="42">
        <f>IF(B8=0, 0, B8/SIN(B7*PI()/180))</f>
        <v>347.85279661778787</v>
      </c>
      <c r="C17" s="24" t="s">
        <v>76</v>
      </c>
      <c r="D17" s="32"/>
      <c r="G17" s="21"/>
    </row>
    <row r="18" spans="1:7" x14ac:dyDescent="0.25">
      <c r="A18" s="133" t="s">
        <v>81</v>
      </c>
      <c r="B18" s="42">
        <f>IF(B8=0, 0, B8/1/TAN(B7*PI()/180))</f>
        <v>90.030928656857228</v>
      </c>
      <c r="C18" s="24" t="s">
        <v>76</v>
      </c>
      <c r="D18" s="32"/>
      <c r="G18" s="21"/>
    </row>
    <row r="19" spans="1:7" x14ac:dyDescent="0.25">
      <c r="A19" s="133" t="s">
        <v>220</v>
      </c>
      <c r="B19" s="42">
        <f>B6+B18+B9</f>
        <v>231.40592865685721</v>
      </c>
      <c r="C19" s="24" t="s">
        <v>76</v>
      </c>
      <c r="D19" s="32"/>
      <c r="E19" s="40"/>
      <c r="F19" s="40"/>
      <c r="G19" s="119"/>
    </row>
    <row r="20" spans="1:7" x14ac:dyDescent="0.25">
      <c r="A20" s="134" t="s">
        <v>219</v>
      </c>
      <c r="B20" s="42">
        <f>(B6+B17+B9)/12</f>
        <v>40.768983051482323</v>
      </c>
      <c r="C20" s="24" t="s">
        <v>77</v>
      </c>
      <c r="D20" s="31"/>
      <c r="E20" s="44"/>
      <c r="F20" s="39"/>
      <c r="G20" s="117"/>
    </row>
    <row r="21" spans="1:7" x14ac:dyDescent="0.25">
      <c r="A21" s="134" t="s">
        <v>93</v>
      </c>
      <c r="B21" s="42">
        <f>(((B6+B17+B9)*2)/12)</f>
        <v>81.537966102964646</v>
      </c>
      <c r="C21" s="24" t="s">
        <v>77</v>
      </c>
      <c r="D21" s="31"/>
      <c r="E21" s="40"/>
      <c r="G21" s="119"/>
    </row>
    <row r="22" spans="1:7" x14ac:dyDescent="0.25">
      <c r="A22" s="134" t="s">
        <v>97</v>
      </c>
      <c r="B22" s="42">
        <f>0.22+(B10*0.5312)</f>
        <v>15.0936</v>
      </c>
      <c r="C22" s="24" t="s">
        <v>98</v>
      </c>
      <c r="D22" s="31"/>
      <c r="E22" s="40"/>
      <c r="G22" s="119"/>
    </row>
    <row r="23" spans="1:7" x14ac:dyDescent="0.25">
      <c r="A23" s="134" t="s">
        <v>226</v>
      </c>
      <c r="B23" s="42">
        <f>(B11)+(B22*B28/B21)</f>
        <v>16.908488686566695</v>
      </c>
      <c r="C23" s="24" t="s">
        <v>92</v>
      </c>
      <c r="D23" s="31"/>
      <c r="E23" s="39"/>
      <c r="F23" s="39"/>
      <c r="G23" s="117"/>
    </row>
    <row r="24" spans="1:7" x14ac:dyDescent="0.25">
      <c r="A24" s="134" t="s">
        <v>106</v>
      </c>
      <c r="B24" s="42">
        <f>(B23*B21*B43)</f>
        <v>206.80256660664546</v>
      </c>
      <c r="C24" s="24" t="s">
        <v>107</v>
      </c>
      <c r="G24" s="21"/>
    </row>
    <row r="25" spans="1:7" x14ac:dyDescent="0.25">
      <c r="A25" s="134" t="s">
        <v>109</v>
      </c>
      <c r="B25" s="42">
        <f>((B17/12*B23)*SIN(B7*PI()/180))</f>
        <v>473.43768322386745</v>
      </c>
      <c r="C25" s="24" t="s">
        <v>107</v>
      </c>
      <c r="G25" s="21"/>
    </row>
    <row r="26" spans="1:7" x14ac:dyDescent="0.25">
      <c r="A26" s="134" t="s">
        <v>218</v>
      </c>
      <c r="B26" s="42">
        <f>(B15*B28/2)</f>
        <v>60.403474577223484</v>
      </c>
      <c r="C26" s="24" t="s">
        <v>112</v>
      </c>
      <c r="D26" s="94"/>
      <c r="E26" s="95"/>
      <c r="F26" s="95"/>
      <c r="G26" s="121"/>
    </row>
    <row r="27" spans="1:7" x14ac:dyDescent="0.25">
      <c r="A27" s="133" t="s">
        <v>217</v>
      </c>
      <c r="B27" s="42">
        <f>SUM(B24:B26)</f>
        <v>740.64372440773639</v>
      </c>
      <c r="C27" s="24" t="s">
        <v>107</v>
      </c>
      <c r="D27" s="31"/>
      <c r="E27" s="39"/>
      <c r="F27" s="39"/>
      <c r="G27" s="117"/>
    </row>
    <row r="28" spans="1:7" x14ac:dyDescent="0.25">
      <c r="A28" s="134" t="s">
        <v>221</v>
      </c>
      <c r="B28" s="135">
        <f>((B21*12/B13)-1)</f>
        <v>80.537966102964646</v>
      </c>
      <c r="C28" s="6"/>
      <c r="D28" s="31"/>
      <c r="E28" s="39"/>
      <c r="F28" s="39"/>
      <c r="G28" s="117"/>
    </row>
    <row r="29" spans="1:7" x14ac:dyDescent="0.25">
      <c r="A29" s="134" t="s">
        <v>222</v>
      </c>
      <c r="B29" s="43">
        <f>(B20/B12)*(B13/12)</f>
        <v>0.58241404359260462</v>
      </c>
      <c r="C29" s="6" t="s">
        <v>139</v>
      </c>
      <c r="D29" s="31"/>
      <c r="E29" s="39"/>
      <c r="F29" s="39"/>
      <c r="G29" s="117"/>
    </row>
    <row r="30" spans="1:7" x14ac:dyDescent="0.25">
      <c r="A30" s="134" t="s">
        <v>223</v>
      </c>
      <c r="B30" s="43">
        <f>(B15/B29)*60</f>
        <v>154.52924082125068</v>
      </c>
      <c r="C30" s="6" t="s">
        <v>140</v>
      </c>
      <c r="D30" s="31"/>
      <c r="E30" s="39"/>
      <c r="F30" s="39"/>
      <c r="G30" s="117"/>
    </row>
    <row r="31" spans="1:7" x14ac:dyDescent="0.25">
      <c r="A31" s="134" t="s">
        <v>227</v>
      </c>
      <c r="B31" s="6">
        <f>(B30*B28)/2</f>
        <v>6222.7353795893741</v>
      </c>
      <c r="C31" s="6" t="s">
        <v>140</v>
      </c>
      <c r="D31" s="96"/>
      <c r="E31" s="44"/>
      <c r="F31" s="44"/>
      <c r="G31" s="122"/>
    </row>
    <row r="32" spans="1:7" x14ac:dyDescent="0.25">
      <c r="A32" s="123" t="s">
        <v>228</v>
      </c>
      <c r="B32" s="55">
        <f>B31/B14</f>
        <v>0.51856128163244786</v>
      </c>
      <c r="C32" s="136"/>
      <c r="D32" s="35" t="s">
        <v>157</v>
      </c>
      <c r="E32" s="97"/>
      <c r="F32" s="97"/>
      <c r="G32" s="124"/>
    </row>
    <row r="33" spans="1:10" x14ac:dyDescent="0.25">
      <c r="A33" s="114" t="s">
        <v>165</v>
      </c>
      <c r="B33" s="91"/>
      <c r="C33" s="92"/>
      <c r="G33" s="21"/>
    </row>
    <row r="34" spans="1:10" x14ac:dyDescent="0.25">
      <c r="A34" s="125" t="s">
        <v>142</v>
      </c>
      <c r="B34" s="82">
        <v>1.5</v>
      </c>
      <c r="C34" s="77" t="s">
        <v>76</v>
      </c>
      <c r="G34" s="21"/>
    </row>
    <row r="35" spans="1:10" x14ac:dyDescent="0.25">
      <c r="A35" s="125" t="s">
        <v>156</v>
      </c>
      <c r="B35" s="82">
        <v>14</v>
      </c>
      <c r="C35" s="77"/>
      <c r="G35" s="21"/>
    </row>
    <row r="36" spans="1:10" x14ac:dyDescent="0.25">
      <c r="A36" s="125" t="s">
        <v>143</v>
      </c>
      <c r="B36" s="82">
        <v>0.8</v>
      </c>
      <c r="C36" s="77"/>
      <c r="G36" s="21"/>
    </row>
    <row r="37" spans="1:10" x14ac:dyDescent="0.25">
      <c r="A37" s="125" t="s">
        <v>144</v>
      </c>
      <c r="B37" s="82">
        <v>0.76</v>
      </c>
      <c r="C37" s="77"/>
      <c r="D37" s="59"/>
      <c r="G37" s="21"/>
    </row>
    <row r="38" spans="1:10" x14ac:dyDescent="0.25">
      <c r="A38" s="125" t="s">
        <v>145</v>
      </c>
      <c r="B38" s="82">
        <v>0.4</v>
      </c>
      <c r="C38" s="77"/>
      <c r="G38" s="21"/>
    </row>
    <row r="39" spans="1:10" ht="15.75" thickBot="1" x14ac:dyDescent="0.3">
      <c r="A39" s="125" t="s">
        <v>211</v>
      </c>
      <c r="B39" s="82">
        <f>B34*B35</f>
        <v>21</v>
      </c>
      <c r="C39" s="77" t="s">
        <v>146</v>
      </c>
      <c r="G39" s="21"/>
    </row>
    <row r="40" spans="1:10" ht="12.75" customHeight="1" x14ac:dyDescent="0.25">
      <c r="A40" s="126" t="s">
        <v>149</v>
      </c>
      <c r="B40" s="83">
        <f>(B27*B34)/(B36*B37)</f>
        <v>1827.2460306111914</v>
      </c>
      <c r="C40" s="84" t="s">
        <v>117</v>
      </c>
      <c r="E40" s="208" t="s">
        <v>193</v>
      </c>
      <c r="F40" s="209"/>
      <c r="G40" s="210"/>
      <c r="H40" s="25"/>
      <c r="I40" s="25"/>
    </row>
    <row r="41" spans="1:10" ht="15.75" thickBot="1" x14ac:dyDescent="0.3">
      <c r="A41" s="126" t="s">
        <v>150</v>
      </c>
      <c r="B41" s="83">
        <f>(B27*B34)/(B38*B36)</f>
        <v>3471.7674581612637</v>
      </c>
      <c r="C41" s="84" t="s">
        <v>117</v>
      </c>
      <c r="D41" s="47"/>
      <c r="E41" s="211"/>
      <c r="F41" s="212"/>
      <c r="G41" s="213"/>
    </row>
    <row r="42" spans="1:10" x14ac:dyDescent="0.25">
      <c r="A42" s="127" t="s">
        <v>151</v>
      </c>
      <c r="B42" s="61">
        <f>B41*B48</f>
        <v>5207.651187241896</v>
      </c>
      <c r="C42" s="56" t="s">
        <v>117</v>
      </c>
      <c r="G42" s="21"/>
    </row>
    <row r="43" spans="1:10" x14ac:dyDescent="0.25">
      <c r="A43" s="120" t="s">
        <v>209</v>
      </c>
      <c r="B43" s="131">
        <v>0.15</v>
      </c>
      <c r="C43" s="6"/>
      <c r="D43" s="35" t="s">
        <v>210</v>
      </c>
      <c r="E43" s="97"/>
      <c r="F43" s="97"/>
      <c r="G43" s="124"/>
    </row>
    <row r="44" spans="1:10" x14ac:dyDescent="0.25">
      <c r="A44" s="120" t="s">
        <v>201</v>
      </c>
      <c r="B44" s="137">
        <f>(B21*B23)</f>
        <v>1378.6837773776365</v>
      </c>
      <c r="C44" s="6" t="s">
        <v>112</v>
      </c>
      <c r="D44" s="45"/>
      <c r="E44" s="97"/>
      <c r="F44" s="97"/>
      <c r="G44" s="124"/>
    </row>
    <row r="45" spans="1:10" x14ac:dyDescent="0.25">
      <c r="A45" s="120" t="s">
        <v>212</v>
      </c>
      <c r="B45" s="137">
        <v>100</v>
      </c>
      <c r="C45" s="89" t="s">
        <v>112</v>
      </c>
      <c r="G45" s="21"/>
    </row>
    <row r="46" spans="1:10" x14ac:dyDescent="0.25">
      <c r="A46" s="120" t="s">
        <v>214</v>
      </c>
      <c r="B46" s="137">
        <f>(B45+B27)</f>
        <v>840.64372440773639</v>
      </c>
      <c r="C46" s="89" t="s">
        <v>112</v>
      </c>
      <c r="D46" s="46"/>
      <c r="G46" s="21"/>
    </row>
    <row r="47" spans="1:10" x14ac:dyDescent="0.25">
      <c r="A47" s="120" t="s">
        <v>215</v>
      </c>
      <c r="B47" s="137">
        <v>6.74</v>
      </c>
      <c r="C47" s="89" t="s">
        <v>205</v>
      </c>
      <c r="D47" s="35"/>
      <c r="G47" s="21"/>
      <c r="I47">
        <f>B47*3.141569</f>
        <v>21.17417506</v>
      </c>
      <c r="J47">
        <f>I47/12</f>
        <v>1.7645145883333333</v>
      </c>
    </row>
    <row r="48" spans="1:10" x14ac:dyDescent="0.25">
      <c r="A48" s="120" t="s">
        <v>216</v>
      </c>
      <c r="B48" s="131">
        <v>1.5</v>
      </c>
      <c r="C48" s="6"/>
      <c r="D48" s="35"/>
      <c r="G48" s="21"/>
      <c r="J48">
        <v>70</v>
      </c>
    </row>
    <row r="49" spans="1:10" ht="15.75" thickBot="1" x14ac:dyDescent="0.3">
      <c r="A49" s="128" t="s">
        <v>206</v>
      </c>
      <c r="B49" s="86">
        <f>((B46*(B47/2)))</f>
        <v>2832.9693512540716</v>
      </c>
      <c r="C49" s="80" t="s">
        <v>207</v>
      </c>
      <c r="G49" s="21"/>
      <c r="J49">
        <f>J48/J47</f>
        <v>39.670966997285234</v>
      </c>
    </row>
    <row r="50" spans="1:10" ht="19.5" thickBot="1" x14ac:dyDescent="0.35">
      <c r="A50" s="138" t="s">
        <v>208</v>
      </c>
      <c r="B50" s="139">
        <f>B49*B48</f>
        <v>4249.454026881107</v>
      </c>
      <c r="C50" s="140" t="s">
        <v>207</v>
      </c>
      <c r="G50" s="21"/>
    </row>
    <row r="51" spans="1:10" x14ac:dyDescent="0.25">
      <c r="A51" s="141" t="s">
        <v>147</v>
      </c>
      <c r="B51" s="142">
        <f>(B12*12)/B39</f>
        <v>40</v>
      </c>
      <c r="C51" s="143" t="s">
        <v>148</v>
      </c>
      <c r="D51"/>
      <c r="G51" s="21"/>
    </row>
    <row r="52" spans="1:10" hidden="1" x14ac:dyDescent="0.25">
      <c r="A52" s="129" t="s">
        <v>152</v>
      </c>
      <c r="B52" s="63">
        <f>(B50*B51)/63025</f>
        <v>2.6969958123799174</v>
      </c>
      <c r="C52" s="144" t="s">
        <v>121</v>
      </c>
      <c r="D52"/>
      <c r="G52" s="21"/>
    </row>
    <row r="53" spans="1:10" x14ac:dyDescent="0.25">
      <c r="A53" s="123" t="s">
        <v>195</v>
      </c>
      <c r="B53" s="69">
        <f>1750/B51</f>
        <v>43.75</v>
      </c>
      <c r="C53" s="57"/>
      <c r="D53"/>
      <c r="G53" s="21"/>
    </row>
    <row r="54" spans="1:10" x14ac:dyDescent="0.25">
      <c r="A54" s="145" t="s">
        <v>185</v>
      </c>
      <c r="B54" s="146"/>
      <c r="C54" s="147"/>
      <c r="D54"/>
      <c r="G54" s="21"/>
    </row>
    <row r="55" spans="1:10" x14ac:dyDescent="0.25">
      <c r="A55" s="123" t="s">
        <v>186</v>
      </c>
      <c r="B55" s="64">
        <f>(B6*(B10+2.25)*1.45)/277.419555</f>
        <v>18.87424964509081</v>
      </c>
      <c r="C55" s="57" t="s">
        <v>183</v>
      </c>
      <c r="D55"/>
      <c r="G55" s="21"/>
    </row>
    <row r="56" spans="1:10" ht="15.75" thickBot="1" x14ac:dyDescent="0.3">
      <c r="A56" s="148" t="s">
        <v>182</v>
      </c>
      <c r="B56" s="149">
        <f>B55/5</f>
        <v>3.7748499290181621</v>
      </c>
      <c r="C56" s="150" t="s">
        <v>184</v>
      </c>
      <c r="D56" s="13"/>
      <c r="E56" s="13"/>
      <c r="F56" s="13"/>
      <c r="G56" s="112"/>
    </row>
    <row r="57" spans="1:10" ht="15.75" thickTop="1" x14ac:dyDescent="0.25">
      <c r="D57"/>
    </row>
    <row r="58" spans="1:10" x14ac:dyDescent="0.25">
      <c r="D58"/>
    </row>
  </sheetData>
  <mergeCells count="3">
    <mergeCell ref="A1:G2"/>
    <mergeCell ref="E3:G4"/>
    <mergeCell ref="E40:G41"/>
  </mergeCells>
  <hyperlinks>
    <hyperlink ref="D15" location="'Reference Tables'!A1" display="USE TABLES" xr:uid="{6D57E362-9C5F-44EF-A32A-0CAA237F695F}"/>
    <hyperlink ref="E3:G4" location="'Application Design'!A1" display="RETURN TO APPLICATION DESIGN" xr:uid="{6308A6B0-C9BC-4F85-A350-FF0614D8AB9F}"/>
    <hyperlink ref="E40:G41" location="'Application Design'!A1" display="RETURN TO APPLICATION DESIGN" xr:uid="{E3C62C63-9BCC-4F70-9FAF-061FE9735646}"/>
  </hyperlinks>
  <pageMargins left="0.7" right="0.7" top="0.75" bottom="0.75" header="0.3" footer="0.3"/>
  <pageSetup orientation="portrait" r:id="rId1"/>
  <ignoredErrors>
    <ignoredError sqref="B19:B21 B31:B3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3F1-F6BD-4D6A-B099-03235C208779}">
  <dimension ref="A1:O57"/>
  <sheetViews>
    <sheetView zoomScaleNormal="100" workbookViewId="0">
      <selection activeCell="L21" sqref="L21"/>
    </sheetView>
  </sheetViews>
  <sheetFormatPr defaultColWidth="9.140625" defaultRowHeight="15" x14ac:dyDescent="0.25"/>
  <cols>
    <col min="1" max="1" width="36.140625" customWidth="1"/>
    <col min="2" max="2" width="14.28515625" bestFit="1" customWidth="1"/>
    <col min="3" max="3" width="11.5703125" bestFit="1" customWidth="1"/>
    <col min="4" max="4" width="15.7109375" customWidth="1"/>
    <col min="5" max="5" width="15.85546875" customWidth="1"/>
    <col min="6" max="6" width="36" bestFit="1" customWidth="1"/>
    <col min="7" max="7" width="6.5703125" bestFit="1" customWidth="1"/>
    <col min="8" max="8" width="13.5703125" bestFit="1" customWidth="1"/>
  </cols>
  <sheetData>
    <row r="1" spans="1:15" ht="12.75" customHeight="1" thickTop="1" x14ac:dyDescent="0.25">
      <c r="A1" s="202" t="s">
        <v>198</v>
      </c>
      <c r="B1" s="203"/>
      <c r="C1" s="203"/>
      <c r="D1" s="203"/>
      <c r="E1" s="203"/>
      <c r="F1" s="204"/>
      <c r="G1" s="53"/>
      <c r="H1" s="53"/>
      <c r="I1" s="53"/>
      <c r="J1" s="53"/>
      <c r="K1" s="53"/>
      <c r="L1" s="53"/>
      <c r="M1" s="53"/>
      <c r="N1" s="53"/>
      <c r="O1" s="53"/>
    </row>
    <row r="2" spans="1:15" ht="12.75" customHeight="1" thickBot="1" x14ac:dyDescent="0.3">
      <c r="A2" s="205"/>
      <c r="B2" s="206"/>
      <c r="C2" s="206"/>
      <c r="D2" s="206"/>
      <c r="E2" s="206"/>
      <c r="F2" s="207"/>
      <c r="G2" s="53"/>
      <c r="H2" s="53"/>
      <c r="I2" s="53"/>
      <c r="J2" s="53"/>
      <c r="K2" s="53"/>
      <c r="L2" s="53"/>
      <c r="M2" s="53"/>
      <c r="N2" s="53"/>
      <c r="O2" s="53"/>
    </row>
    <row r="3" spans="1:15" ht="15" customHeight="1" x14ac:dyDescent="0.25">
      <c r="A3" s="113" t="s">
        <v>153</v>
      </c>
      <c r="F3" s="216" t="s">
        <v>193</v>
      </c>
    </row>
    <row r="4" spans="1:15" ht="15.75" thickBot="1" x14ac:dyDescent="0.3">
      <c r="A4" s="10"/>
      <c r="F4" s="217"/>
    </row>
    <row r="5" spans="1:15" x14ac:dyDescent="0.25">
      <c r="A5" s="114" t="s">
        <v>163</v>
      </c>
      <c r="B5" s="27"/>
      <c r="C5" s="28"/>
      <c r="D5" s="26"/>
      <c r="F5" s="21"/>
    </row>
    <row r="6" spans="1:15" ht="12.75" customHeight="1" x14ac:dyDescent="0.25">
      <c r="A6" s="115" t="s">
        <v>131</v>
      </c>
      <c r="B6" s="76">
        <f>'Application Design'!C62</f>
        <v>119.375</v>
      </c>
      <c r="C6" s="30" t="s">
        <v>76</v>
      </c>
      <c r="D6" s="31"/>
      <c r="F6" s="21"/>
    </row>
    <row r="7" spans="1:15" x14ac:dyDescent="0.25">
      <c r="A7" s="115" t="s">
        <v>78</v>
      </c>
      <c r="B7" s="76">
        <f>'Application Design'!C64</f>
        <v>75</v>
      </c>
      <c r="C7" s="30" t="s">
        <v>79</v>
      </c>
      <c r="D7" s="32"/>
      <c r="F7" s="21"/>
    </row>
    <row r="8" spans="1:15" x14ac:dyDescent="0.25">
      <c r="A8" s="115" t="s">
        <v>137</v>
      </c>
      <c r="B8" s="76">
        <f>'Application Design'!C63</f>
        <v>336</v>
      </c>
      <c r="C8" s="30" t="s">
        <v>76</v>
      </c>
      <c r="D8" s="32"/>
      <c r="F8" s="21"/>
    </row>
    <row r="9" spans="1:15" x14ac:dyDescent="0.25">
      <c r="A9" s="115" t="s">
        <v>86</v>
      </c>
      <c r="B9" s="29">
        <v>22</v>
      </c>
      <c r="C9" s="30" t="s">
        <v>76</v>
      </c>
      <c r="D9" s="35" t="s">
        <v>159</v>
      </c>
      <c r="F9" s="21"/>
    </row>
    <row r="10" spans="1:15" ht="12.75" customHeight="1" x14ac:dyDescent="0.25">
      <c r="A10" s="115" t="s">
        <v>89</v>
      </c>
      <c r="B10" s="76">
        <f>'Application Design'!C66</f>
        <v>28</v>
      </c>
      <c r="C10" s="30" t="s">
        <v>76</v>
      </c>
      <c r="D10" s="31"/>
      <c r="F10" s="21"/>
    </row>
    <row r="11" spans="1:15" x14ac:dyDescent="0.25">
      <c r="A11" s="115" t="s">
        <v>91</v>
      </c>
      <c r="B11" s="88">
        <v>2</v>
      </c>
      <c r="C11" s="30" t="s">
        <v>92</v>
      </c>
      <c r="D11" s="31"/>
      <c r="F11" s="21"/>
    </row>
    <row r="12" spans="1:15" x14ac:dyDescent="0.25">
      <c r="A12" s="118" t="s">
        <v>96</v>
      </c>
      <c r="B12" s="76">
        <f>'Application Design'!C69</f>
        <v>12</v>
      </c>
      <c r="C12" s="30" t="s">
        <v>76</v>
      </c>
      <c r="D12" s="32"/>
      <c r="F12" s="21"/>
    </row>
    <row r="13" spans="1:15" x14ac:dyDescent="0.25">
      <c r="A13" s="115" t="s">
        <v>170</v>
      </c>
      <c r="B13" s="76">
        <f>'Application Design'!C50</f>
        <v>0</v>
      </c>
      <c r="C13" s="30" t="s">
        <v>173</v>
      </c>
      <c r="D13" s="35"/>
      <c r="F13" s="21"/>
    </row>
    <row r="14" spans="1:15" x14ac:dyDescent="0.25">
      <c r="A14" s="120" t="s">
        <v>169</v>
      </c>
      <c r="B14" s="89">
        <f>'Application Design'!C44</f>
        <v>0</v>
      </c>
      <c r="C14" s="6" t="s">
        <v>112</v>
      </c>
      <c r="D14" s="35"/>
      <c r="F14" s="21"/>
    </row>
    <row r="15" spans="1:15" x14ac:dyDescent="0.25">
      <c r="A15" s="10" t="s">
        <v>171</v>
      </c>
      <c r="B15" s="50">
        <v>2</v>
      </c>
      <c r="C15" s="49" t="s">
        <v>172</v>
      </c>
      <c r="D15" s="54" t="s">
        <v>176</v>
      </c>
      <c r="E15" s="37" t="s">
        <v>181</v>
      </c>
      <c r="F15" s="21"/>
    </row>
    <row r="16" spans="1:15" x14ac:dyDescent="0.25">
      <c r="A16" s="214" t="s">
        <v>164</v>
      </c>
      <c r="B16" s="215"/>
      <c r="C16" s="215"/>
      <c r="F16" s="21"/>
    </row>
    <row r="17" spans="1:6" x14ac:dyDescent="0.25">
      <c r="A17" s="120" t="s">
        <v>229</v>
      </c>
      <c r="B17" s="43">
        <f>(B23/B31/B30)</f>
        <v>1.4463092918140272E-2</v>
      </c>
      <c r="C17" s="30" t="s">
        <v>139</v>
      </c>
      <c r="F17" s="21"/>
    </row>
    <row r="18" spans="1:6" x14ac:dyDescent="0.25">
      <c r="A18" s="120" t="s">
        <v>230</v>
      </c>
      <c r="B18" s="6">
        <f>(B13/B15)*(B12/12)</f>
        <v>0</v>
      </c>
      <c r="C18" s="30" t="s">
        <v>95</v>
      </c>
      <c r="D18" s="35" t="s">
        <v>175</v>
      </c>
      <c r="F18" s="21"/>
    </row>
    <row r="19" spans="1:6" x14ac:dyDescent="0.25">
      <c r="A19" s="116" t="s">
        <v>80</v>
      </c>
      <c r="B19" s="42">
        <f>IF(B8=0, 0, B8/SIN(B7*PI()/180))</f>
        <v>347.85279661778787</v>
      </c>
      <c r="C19" s="24" t="s">
        <v>76</v>
      </c>
      <c r="F19" s="21"/>
    </row>
    <row r="20" spans="1:6" x14ac:dyDescent="0.25">
      <c r="A20" s="116" t="s">
        <v>81</v>
      </c>
      <c r="B20" s="42">
        <f>IF(B8=0, 0, B8/1/TAN(B7*PI()/180))</f>
        <v>90.030928656857228</v>
      </c>
      <c r="C20" s="24" t="s">
        <v>76</v>
      </c>
      <c r="D20" s="44"/>
      <c r="E20" s="39"/>
      <c r="F20" s="117"/>
    </row>
    <row r="21" spans="1:6" x14ac:dyDescent="0.25">
      <c r="A21" s="116" t="s">
        <v>231</v>
      </c>
      <c r="B21" s="42">
        <f>B6+B20+B9</f>
        <v>231.40592865685721</v>
      </c>
      <c r="C21" s="24" t="s">
        <v>76</v>
      </c>
      <c r="D21" s="40"/>
      <c r="E21" s="156"/>
      <c r="F21" s="119"/>
    </row>
    <row r="22" spans="1:6" x14ac:dyDescent="0.25">
      <c r="A22" s="116" t="s">
        <v>232</v>
      </c>
      <c r="B22" s="42">
        <f>(B6+B19+B9)/12</f>
        <v>40.768983051482323</v>
      </c>
      <c r="C22" s="24" t="s">
        <v>77</v>
      </c>
      <c r="D22" s="40"/>
      <c r="E22" s="156"/>
      <c r="F22" s="119"/>
    </row>
    <row r="23" spans="1:6" x14ac:dyDescent="0.25">
      <c r="A23" s="116" t="s">
        <v>93</v>
      </c>
      <c r="B23" s="42">
        <f>(((B6+B19+B9)*2)/12)</f>
        <v>81.537966102964646</v>
      </c>
      <c r="C23" s="24" t="s">
        <v>77</v>
      </c>
      <c r="F23" s="21"/>
    </row>
    <row r="24" spans="1:6" x14ac:dyDescent="0.25">
      <c r="A24" s="116" t="s">
        <v>97</v>
      </c>
      <c r="B24" s="42">
        <f>0.22+(B10*0.5312)</f>
        <v>15.0936</v>
      </c>
      <c r="C24" s="24" t="s">
        <v>98</v>
      </c>
      <c r="F24" s="21"/>
    </row>
    <row r="25" spans="1:6" x14ac:dyDescent="0.25">
      <c r="A25" s="116" t="s">
        <v>103</v>
      </c>
      <c r="B25" s="42">
        <f>B11+(B24*B30/B23)</f>
        <v>16.908488686566695</v>
      </c>
      <c r="C25" s="24" t="s">
        <v>92</v>
      </c>
      <c r="F25" s="21"/>
    </row>
    <row r="26" spans="1:6" x14ac:dyDescent="0.25">
      <c r="A26" s="116" t="s">
        <v>106</v>
      </c>
      <c r="B26" s="42">
        <f>(B25*B23*B34)</f>
        <v>275.73675547552733</v>
      </c>
      <c r="C26" s="24" t="s">
        <v>107</v>
      </c>
      <c r="F26" s="21"/>
    </row>
    <row r="27" spans="1:6" x14ac:dyDescent="0.25">
      <c r="A27" s="116" t="s">
        <v>109</v>
      </c>
      <c r="B27" s="42">
        <f>((B19/12*B25)*SIN(B7*PI()/180))</f>
        <v>473.43768322386745</v>
      </c>
      <c r="C27" s="24" t="s">
        <v>107</v>
      </c>
      <c r="F27" s="21"/>
    </row>
    <row r="28" spans="1:6" x14ac:dyDescent="0.25">
      <c r="A28" s="120" t="s">
        <v>233</v>
      </c>
      <c r="B28" s="42">
        <f>(B15*B14)*(B30/2)</f>
        <v>0</v>
      </c>
      <c r="C28" s="24" t="s">
        <v>112</v>
      </c>
      <c r="F28" s="21"/>
    </row>
    <row r="29" spans="1:6" x14ac:dyDescent="0.25">
      <c r="A29" s="116" t="s">
        <v>217</v>
      </c>
      <c r="B29" s="42">
        <f>SUM(B26:B28)</f>
        <v>749.17443869939484</v>
      </c>
      <c r="C29" s="24" t="s">
        <v>107</v>
      </c>
      <c r="F29" s="21"/>
    </row>
    <row r="30" spans="1:6" x14ac:dyDescent="0.25">
      <c r="A30" s="116" t="s">
        <v>221</v>
      </c>
      <c r="B30" s="87">
        <f>(((B23*12)/B12)-1)</f>
        <v>80.537966102964646</v>
      </c>
      <c r="C30" s="24"/>
      <c r="F30" s="21"/>
    </row>
    <row r="31" spans="1:6" x14ac:dyDescent="0.25">
      <c r="A31" s="157" t="s">
        <v>234</v>
      </c>
      <c r="B31" s="90">
        <f>'Application Design'!C74</f>
        <v>70</v>
      </c>
      <c r="C31" s="78" t="s">
        <v>95</v>
      </c>
      <c r="F31" s="21"/>
    </row>
    <row r="32" spans="1:6" x14ac:dyDescent="0.25">
      <c r="A32" s="123" t="s">
        <v>141</v>
      </c>
      <c r="B32" s="55" t="e">
        <f>B31/B18</f>
        <v>#DIV/0!</v>
      </c>
      <c r="C32" s="57"/>
      <c r="D32" s="35" t="s">
        <v>168</v>
      </c>
      <c r="F32" s="21"/>
    </row>
    <row r="33" spans="1:6" x14ac:dyDescent="0.25">
      <c r="A33" s="158" t="s">
        <v>165</v>
      </c>
      <c r="B33" s="159"/>
      <c r="C33" s="160"/>
      <c r="F33" s="21"/>
    </row>
    <row r="34" spans="1:6" x14ac:dyDescent="0.25">
      <c r="A34" s="120" t="s">
        <v>209</v>
      </c>
      <c r="B34" s="151">
        <v>0.2</v>
      </c>
      <c r="C34" s="6"/>
      <c r="D34" s="35" t="s">
        <v>210</v>
      </c>
      <c r="F34" s="21"/>
    </row>
    <row r="35" spans="1:6" x14ac:dyDescent="0.25">
      <c r="A35" s="161" t="s">
        <v>201</v>
      </c>
      <c r="B35" s="153">
        <f>(B23*B25)</f>
        <v>1378.6837773776365</v>
      </c>
      <c r="C35" s="152" t="s">
        <v>112</v>
      </c>
      <c r="D35" s="45"/>
      <c r="F35" s="21"/>
    </row>
    <row r="36" spans="1:6" x14ac:dyDescent="0.25">
      <c r="A36" s="120" t="s">
        <v>202</v>
      </c>
      <c r="B36" s="137">
        <f>100</f>
        <v>100</v>
      </c>
      <c r="C36" s="89" t="s">
        <v>112</v>
      </c>
      <c r="D36" s="26"/>
      <c r="F36" s="21"/>
    </row>
    <row r="37" spans="1:6" x14ac:dyDescent="0.25">
      <c r="A37" s="120" t="s">
        <v>203</v>
      </c>
      <c r="B37" s="137">
        <f>(B36+B29)</f>
        <v>849.17443869939484</v>
      </c>
      <c r="C37" s="89" t="s">
        <v>112</v>
      </c>
      <c r="D37" s="46"/>
      <c r="F37" s="21"/>
    </row>
    <row r="38" spans="1:6" x14ac:dyDescent="0.25">
      <c r="A38" s="120" t="s">
        <v>204</v>
      </c>
      <c r="B38" s="137">
        <v>4.5</v>
      </c>
      <c r="C38" s="89" t="s">
        <v>205</v>
      </c>
      <c r="D38" s="35"/>
      <c r="F38" s="21"/>
    </row>
    <row r="39" spans="1:6" x14ac:dyDescent="0.25">
      <c r="A39" s="162" t="s">
        <v>158</v>
      </c>
      <c r="B39" s="29">
        <v>2</v>
      </c>
      <c r="C39" s="6"/>
      <c r="D39" s="35"/>
      <c r="F39" s="21"/>
    </row>
    <row r="40" spans="1:6" ht="15.75" thickBot="1" x14ac:dyDescent="0.3">
      <c r="A40" s="128" t="s">
        <v>206</v>
      </c>
      <c r="B40" s="86">
        <f>(B37*(B38/2))</f>
        <v>1910.6424870736384</v>
      </c>
      <c r="C40" s="80" t="s">
        <v>207</v>
      </c>
      <c r="D40" s="26"/>
      <c r="F40" s="21"/>
    </row>
    <row r="41" spans="1:6" ht="19.5" thickBot="1" x14ac:dyDescent="0.35">
      <c r="A41" s="163" t="s">
        <v>208</v>
      </c>
      <c r="B41" s="154">
        <f>B40*B39</f>
        <v>3821.2849741472769</v>
      </c>
      <c r="C41" s="155" t="s">
        <v>207</v>
      </c>
      <c r="D41" s="26"/>
      <c r="F41" s="21"/>
    </row>
    <row r="42" spans="1:6" hidden="1" x14ac:dyDescent="0.25">
      <c r="A42" s="164" t="s">
        <v>142</v>
      </c>
      <c r="B42" s="81">
        <v>1</v>
      </c>
      <c r="C42" s="79" t="s">
        <v>76</v>
      </c>
      <c r="D42" s="35"/>
      <c r="F42" s="21"/>
    </row>
    <row r="43" spans="1:6" hidden="1" x14ac:dyDescent="0.25">
      <c r="A43" s="125" t="s">
        <v>156</v>
      </c>
      <c r="B43" s="82">
        <v>14</v>
      </c>
      <c r="C43" s="77"/>
      <c r="D43" s="46" t="s">
        <v>166</v>
      </c>
      <c r="F43" s="21"/>
    </row>
    <row r="44" spans="1:6" hidden="1" x14ac:dyDescent="0.25">
      <c r="A44" s="125" t="s">
        <v>143</v>
      </c>
      <c r="B44" s="82">
        <v>0.8</v>
      </c>
      <c r="C44" s="77"/>
      <c r="D44" s="35" t="s">
        <v>167</v>
      </c>
      <c r="F44" s="21"/>
    </row>
    <row r="45" spans="1:6" hidden="1" x14ac:dyDescent="0.25">
      <c r="A45" s="125" t="s">
        <v>144</v>
      </c>
      <c r="B45" s="82">
        <v>0.76</v>
      </c>
      <c r="C45" s="77"/>
      <c r="D45" s="26"/>
      <c r="F45" s="21"/>
    </row>
    <row r="46" spans="1:6" hidden="1" x14ac:dyDescent="0.25">
      <c r="A46" s="125" t="s">
        <v>145</v>
      </c>
      <c r="B46" s="82">
        <v>0.4</v>
      </c>
      <c r="C46" s="77"/>
      <c r="D46" s="35"/>
      <c r="F46" s="21"/>
    </row>
    <row r="47" spans="1:6" hidden="1" x14ac:dyDescent="0.25">
      <c r="A47" s="125" t="s">
        <v>138</v>
      </c>
      <c r="B47" s="82">
        <f>B42*B43</f>
        <v>14</v>
      </c>
      <c r="C47" s="77" t="s">
        <v>146</v>
      </c>
      <c r="F47" s="21"/>
    </row>
    <row r="48" spans="1:6" hidden="1" x14ac:dyDescent="0.25">
      <c r="A48" s="126" t="s">
        <v>149</v>
      </c>
      <c r="B48" s="83">
        <f>(B29*B42)/(B44*B45)</f>
        <v>1232.1948004924254</v>
      </c>
      <c r="C48" s="84" t="s">
        <v>117</v>
      </c>
      <c r="F48" s="21"/>
    </row>
    <row r="49" spans="1:8" hidden="1" x14ac:dyDescent="0.25">
      <c r="A49" s="126" t="s">
        <v>150</v>
      </c>
      <c r="B49" s="83">
        <f>(B29*B42)/(B46*B44)</f>
        <v>2341.1701209356083</v>
      </c>
      <c r="C49" s="84" t="s">
        <v>117</v>
      </c>
      <c r="F49" s="21"/>
    </row>
    <row r="50" spans="1:8" hidden="1" x14ac:dyDescent="0.25">
      <c r="A50" s="127" t="s">
        <v>151</v>
      </c>
      <c r="B50" s="61">
        <f>B49*B39</f>
        <v>4682.3402418712167</v>
      </c>
      <c r="C50" s="56" t="s">
        <v>117</v>
      </c>
      <c r="F50" s="21"/>
    </row>
    <row r="51" spans="1:8" x14ac:dyDescent="0.25">
      <c r="A51" s="123" t="s">
        <v>147</v>
      </c>
      <c r="B51" s="62">
        <f>(B31*12)/B47</f>
        <v>60</v>
      </c>
      <c r="C51" s="57" t="s">
        <v>148</v>
      </c>
      <c r="F51" s="21"/>
    </row>
    <row r="52" spans="1:8" hidden="1" x14ac:dyDescent="0.25">
      <c r="A52" s="129" t="s">
        <v>152</v>
      </c>
      <c r="B52" s="63">
        <f>(B41*B51)/63025</f>
        <v>3.6378754216396132</v>
      </c>
      <c r="C52" s="58" t="s">
        <v>121</v>
      </c>
      <c r="F52" s="21"/>
    </row>
    <row r="53" spans="1:8" x14ac:dyDescent="0.25">
      <c r="A53" s="123" t="s">
        <v>195</v>
      </c>
      <c r="B53" s="69">
        <f>1750/B51</f>
        <v>29.166666666666668</v>
      </c>
      <c r="C53" s="57"/>
      <c r="F53" s="21"/>
    </row>
    <row r="54" spans="1:8" ht="15.75" thickBot="1" x14ac:dyDescent="0.3">
      <c r="A54" s="165" t="s">
        <v>185</v>
      </c>
      <c r="B54" s="85"/>
      <c r="C54" s="85"/>
      <c r="F54" s="21"/>
    </row>
    <row r="55" spans="1:8" ht="12.75" customHeight="1" x14ac:dyDescent="0.25">
      <c r="A55" s="130" t="s">
        <v>186</v>
      </c>
      <c r="B55" s="64">
        <f>(B6*(B10+2.25)*1.45)/277.419555</f>
        <v>18.87424964509081</v>
      </c>
      <c r="C55" s="57" t="s">
        <v>183</v>
      </c>
      <c r="D55" s="25"/>
      <c r="E55" s="25"/>
      <c r="F55" s="216" t="s">
        <v>193</v>
      </c>
      <c r="G55" s="25"/>
      <c r="H55" s="25"/>
    </row>
    <row r="56" spans="1:8" ht="15.75" thickBot="1" x14ac:dyDescent="0.3">
      <c r="A56" s="166" t="s">
        <v>182</v>
      </c>
      <c r="B56" s="167">
        <f>B55/5</f>
        <v>3.7748499290181621</v>
      </c>
      <c r="C56" s="168" t="s">
        <v>184</v>
      </c>
      <c r="D56" s="13"/>
      <c r="E56" s="13"/>
      <c r="F56" s="218"/>
    </row>
    <row r="57" spans="1:8" ht="15.75" thickTop="1" x14ac:dyDescent="0.25"/>
  </sheetData>
  <sheetProtection algorithmName="SHA-512" hashValue="TYTWRNb/8lgpPMj485lphnIRhNDuHd7TwkgWScOBNkwT8F77Y3iT/NUi4ki45PPqvfu8345FivKMeGLhuRqC8g==" saltValue="jlYzPxJoH6OvEyE8HqqFUw==" spinCount="100000" sheet="1" objects="1" scenarios="1"/>
  <mergeCells count="4">
    <mergeCell ref="A1:F2"/>
    <mergeCell ref="A16:C16"/>
    <mergeCell ref="F3:F4"/>
    <mergeCell ref="F55:F56"/>
  </mergeCells>
  <hyperlinks>
    <hyperlink ref="D15" location="'Reference Tables'!A1" display="USE TABLES" xr:uid="{13E41196-FE9E-45EB-B548-0144436E7FBF}"/>
    <hyperlink ref="F3:F4" location="'Application Design'!A1" display="RETURN TO APPLICATION DESIGN" xr:uid="{9338EFC6-E45C-4AB8-857F-DE6859F0D7B4}"/>
    <hyperlink ref="F55:F56" location="'Application Design'!A1" display="RETURN TO APPLICATION DESIGN" xr:uid="{AD3BD31A-8E67-422D-9423-5E8548020CA3}"/>
  </hyperlinks>
  <pageMargins left="0.7" right="0.7" top="0.75" bottom="0.75" header="0.3" footer="0.3"/>
  <pageSetup orientation="portrait" r:id="rId1"/>
  <ignoredErrors>
    <ignoredError sqref="B48:B51 B32 B21 B53 B2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842-81F3-49C0-9484-7DBDBE0E1317}">
  <dimension ref="A1:G33"/>
  <sheetViews>
    <sheetView workbookViewId="0">
      <selection sqref="A1:G3"/>
    </sheetView>
  </sheetViews>
  <sheetFormatPr defaultRowHeight="15" x14ac:dyDescent="0.25"/>
  <cols>
    <col min="1" max="1" width="3.7109375" bestFit="1" customWidth="1"/>
    <col min="2" max="2" width="14" bestFit="1" customWidth="1"/>
    <col min="3" max="3" width="11.42578125" bestFit="1" customWidth="1"/>
    <col min="4" max="4" width="31.7109375" bestFit="1" customWidth="1"/>
    <col min="5" max="5" width="13.42578125" bestFit="1" customWidth="1"/>
  </cols>
  <sheetData>
    <row r="1" spans="1:7" x14ac:dyDescent="0.25">
      <c r="A1" s="224" t="s">
        <v>177</v>
      </c>
      <c r="B1" s="225"/>
      <c r="C1" s="225"/>
      <c r="D1" s="225"/>
      <c r="E1" s="225"/>
      <c r="F1" s="225"/>
      <c r="G1" s="226"/>
    </row>
    <row r="2" spans="1:7" x14ac:dyDescent="0.25">
      <c r="A2" s="227"/>
      <c r="B2" s="228"/>
      <c r="C2" s="228"/>
      <c r="D2" s="228"/>
      <c r="E2" s="228"/>
      <c r="F2" s="228"/>
      <c r="G2" s="229"/>
    </row>
    <row r="3" spans="1:7" x14ac:dyDescent="0.25">
      <c r="A3" s="230"/>
      <c r="B3" s="231"/>
      <c r="C3" s="231"/>
      <c r="D3" s="231"/>
      <c r="E3" s="231"/>
      <c r="F3" s="231"/>
      <c r="G3" s="232"/>
    </row>
    <row r="4" spans="1:7" x14ac:dyDescent="0.25">
      <c r="A4" s="219" t="s">
        <v>160</v>
      </c>
      <c r="B4" s="52" t="s">
        <v>82</v>
      </c>
      <c r="C4" s="52" t="s">
        <v>83</v>
      </c>
      <c r="D4" s="52" t="s">
        <v>84</v>
      </c>
      <c r="E4" s="52" t="s">
        <v>85</v>
      </c>
      <c r="G4" s="41"/>
    </row>
    <row r="5" spans="1:7" x14ac:dyDescent="0.25">
      <c r="A5" s="219"/>
      <c r="B5" s="33" t="s">
        <v>87</v>
      </c>
      <c r="C5" s="34">
        <v>0.1</v>
      </c>
      <c r="D5" s="34">
        <v>0.8</v>
      </c>
      <c r="E5" s="34">
        <f>C5*D5</f>
        <v>8.0000000000000016E-2</v>
      </c>
      <c r="G5" s="41"/>
    </row>
    <row r="6" spans="1:7" x14ac:dyDescent="0.25">
      <c r="A6" s="219"/>
      <c r="B6" s="33" t="s">
        <v>88</v>
      </c>
      <c r="C6" s="34">
        <v>0.126</v>
      </c>
      <c r="D6" s="34">
        <v>0.8</v>
      </c>
      <c r="E6" s="34">
        <f>C6*D6</f>
        <v>0.1008</v>
      </c>
      <c r="G6" s="41"/>
    </row>
    <row r="7" spans="1:7" x14ac:dyDescent="0.25">
      <c r="A7" s="220"/>
      <c r="B7" s="33" t="s">
        <v>90</v>
      </c>
      <c r="C7" s="34">
        <v>0.29799999999999999</v>
      </c>
      <c r="D7" s="34">
        <v>0.8</v>
      </c>
      <c r="E7" s="34">
        <f>C7*D7</f>
        <v>0.2384</v>
      </c>
      <c r="G7" s="41"/>
    </row>
    <row r="8" spans="1:7" x14ac:dyDescent="0.25">
      <c r="A8" s="221" t="s">
        <v>161</v>
      </c>
      <c r="B8" s="36" t="s">
        <v>89</v>
      </c>
      <c r="C8" s="36" t="s">
        <v>162</v>
      </c>
      <c r="D8" s="37" t="s">
        <v>174</v>
      </c>
      <c r="E8" s="51"/>
      <c r="G8" s="41"/>
    </row>
    <row r="9" spans="1:7" x14ac:dyDescent="0.25">
      <c r="A9" s="222"/>
      <c r="B9" s="38" t="s">
        <v>99</v>
      </c>
      <c r="C9" s="34">
        <f>(2*E6)+(2*E5)</f>
        <v>0.36160000000000003</v>
      </c>
      <c r="E9" s="40"/>
      <c r="G9" s="41"/>
    </row>
    <row r="10" spans="1:7" x14ac:dyDescent="0.25">
      <c r="A10" s="222"/>
      <c r="B10" s="38" t="s">
        <v>102</v>
      </c>
      <c r="C10" s="34">
        <f>(2*E6)+E5+E7</f>
        <v>0.52</v>
      </c>
      <c r="D10" s="37" t="s">
        <v>178</v>
      </c>
      <c r="E10" s="40"/>
      <c r="G10" s="41"/>
    </row>
    <row r="11" spans="1:7" x14ac:dyDescent="0.25">
      <c r="A11" s="222"/>
      <c r="B11" s="38" t="s">
        <v>104</v>
      </c>
      <c r="C11" s="34">
        <f>(2*E7)+(3*E5)</f>
        <v>0.7168000000000001</v>
      </c>
      <c r="D11" s="37" t="s">
        <v>179</v>
      </c>
      <c r="G11" s="41"/>
    </row>
    <row r="12" spans="1:7" x14ac:dyDescent="0.25">
      <c r="A12" s="222"/>
      <c r="B12" s="38" t="s">
        <v>108</v>
      </c>
      <c r="C12" s="38">
        <f>(3*E7)+E6+E5</f>
        <v>0.89600000000000013</v>
      </c>
      <c r="G12" s="41"/>
    </row>
    <row r="13" spans="1:7" x14ac:dyDescent="0.25">
      <c r="A13" s="222"/>
      <c r="B13" s="38" t="s">
        <v>110</v>
      </c>
      <c r="C13" s="38">
        <f>(4*E7)+E6</f>
        <v>1.0544</v>
      </c>
      <c r="D13" s="37" t="s">
        <v>180</v>
      </c>
      <c r="G13" s="41"/>
    </row>
    <row r="14" spans="1:7" x14ac:dyDescent="0.25">
      <c r="A14" s="222"/>
      <c r="B14" s="38" t="s">
        <v>111</v>
      </c>
      <c r="C14" s="38">
        <f>(5*E7)</f>
        <v>1.1919999999999999</v>
      </c>
      <c r="D14" s="37" t="s">
        <v>105</v>
      </c>
      <c r="G14" s="41"/>
    </row>
    <row r="15" spans="1:7" x14ac:dyDescent="0.25">
      <c r="A15" s="222"/>
      <c r="B15" s="36" t="s">
        <v>89</v>
      </c>
      <c r="C15" s="36" t="s">
        <v>162</v>
      </c>
      <c r="G15" s="41"/>
    </row>
    <row r="16" spans="1:7" x14ac:dyDescent="0.25">
      <c r="A16" s="222"/>
      <c r="B16" s="38" t="s">
        <v>113</v>
      </c>
      <c r="C16" s="34">
        <f>(6*E5)</f>
        <v>0.48000000000000009</v>
      </c>
      <c r="G16" s="41"/>
    </row>
    <row r="17" spans="1:7" x14ac:dyDescent="0.25">
      <c r="A17" s="222"/>
      <c r="B17" s="38" t="s">
        <v>114</v>
      </c>
      <c r="C17" s="34">
        <f>(3*E6)+E5+E7</f>
        <v>0.62080000000000002</v>
      </c>
      <c r="G17" s="41"/>
    </row>
    <row r="18" spans="1:7" x14ac:dyDescent="0.25">
      <c r="A18" s="222"/>
      <c r="B18" s="38" t="s">
        <v>115</v>
      </c>
      <c r="C18" s="34">
        <f>(2*E7)+(3*E5)+E6</f>
        <v>0.8176000000000001</v>
      </c>
      <c r="G18" s="41"/>
    </row>
    <row r="19" spans="1:7" x14ac:dyDescent="0.25">
      <c r="A19" s="222"/>
      <c r="B19" s="38" t="s">
        <v>116</v>
      </c>
      <c r="C19" s="38">
        <f>(3*E7)+E6+(2*E5)</f>
        <v>0.97600000000000009</v>
      </c>
      <c r="D19" s="72"/>
      <c r="G19" s="41"/>
    </row>
    <row r="20" spans="1:7" x14ac:dyDescent="0.25">
      <c r="A20" s="222"/>
      <c r="B20" s="38" t="s">
        <v>118</v>
      </c>
      <c r="C20" s="38">
        <f>(4*E7)+(2*E6)</f>
        <v>1.1552</v>
      </c>
      <c r="G20" s="41"/>
    </row>
    <row r="21" spans="1:7" x14ac:dyDescent="0.25">
      <c r="A21" s="222"/>
      <c r="B21" s="38" t="s">
        <v>119</v>
      </c>
      <c r="C21" s="38">
        <f>(5*E7)+(2*E5)</f>
        <v>1.3519999999999999</v>
      </c>
      <c r="G21" s="41"/>
    </row>
    <row r="22" spans="1:7" x14ac:dyDescent="0.25">
      <c r="A22" s="222"/>
      <c r="B22" s="36" t="s">
        <v>89</v>
      </c>
      <c r="C22" s="36" t="s">
        <v>162</v>
      </c>
      <c r="G22" s="41"/>
    </row>
    <row r="23" spans="1:7" x14ac:dyDescent="0.25">
      <c r="A23" s="222"/>
      <c r="B23" s="38" t="s">
        <v>120</v>
      </c>
      <c r="C23" s="34">
        <f>(3*E5)+(3*E6)</f>
        <v>0.54239999999999999</v>
      </c>
      <c r="G23" s="41"/>
    </row>
    <row r="24" spans="1:7" x14ac:dyDescent="0.25">
      <c r="A24" s="222"/>
      <c r="B24" s="38" t="s">
        <v>122</v>
      </c>
      <c r="C24" s="34">
        <f>(5*E5)+E6+E7</f>
        <v>0.73920000000000008</v>
      </c>
      <c r="G24" s="41"/>
    </row>
    <row r="25" spans="1:7" x14ac:dyDescent="0.25">
      <c r="A25" s="222"/>
      <c r="B25" s="38" t="s">
        <v>123</v>
      </c>
      <c r="C25" s="34">
        <f>(2*E7)+(4*E6)</f>
        <v>0.88</v>
      </c>
      <c r="G25" s="41"/>
    </row>
    <row r="26" spans="1:7" x14ac:dyDescent="0.25">
      <c r="A26" s="222"/>
      <c r="B26" s="38" t="s">
        <v>124</v>
      </c>
      <c r="C26" s="38">
        <f>(3*E7)+(2*E5)+(2*E6)</f>
        <v>1.0768</v>
      </c>
      <c r="G26" s="41"/>
    </row>
    <row r="27" spans="1:7" ht="15.75" thickBot="1" x14ac:dyDescent="0.3">
      <c r="A27" s="222"/>
      <c r="B27" s="38" t="s">
        <v>125</v>
      </c>
      <c r="C27" s="38">
        <f>(4*E7)+(4*E5)</f>
        <v>1.2736000000000001</v>
      </c>
      <c r="G27" s="41"/>
    </row>
    <row r="28" spans="1:7" x14ac:dyDescent="0.25">
      <c r="A28" s="222"/>
      <c r="B28" s="36" t="s">
        <v>89</v>
      </c>
      <c r="C28" s="36" t="s">
        <v>162</v>
      </c>
      <c r="D28" s="208" t="s">
        <v>193</v>
      </c>
      <c r="E28" s="233"/>
      <c r="G28" s="41"/>
    </row>
    <row r="29" spans="1:7" ht="15.75" thickBot="1" x14ac:dyDescent="0.3">
      <c r="A29" s="222"/>
      <c r="B29" s="38" t="s">
        <v>126</v>
      </c>
      <c r="C29" s="34">
        <f>(4*E5)+(4*E6)</f>
        <v>0.72320000000000007</v>
      </c>
      <c r="D29" s="211"/>
      <c r="E29" s="234"/>
      <c r="G29" s="41"/>
    </row>
    <row r="30" spans="1:7" x14ac:dyDescent="0.25">
      <c r="A30" s="222"/>
      <c r="B30" s="38" t="s">
        <v>127</v>
      </c>
      <c r="C30" s="70">
        <f>(6*E5)+E7+(2*E6)</f>
        <v>0.92000000000000015</v>
      </c>
      <c r="D30" s="235" t="s">
        <v>197</v>
      </c>
      <c r="E30" s="236"/>
      <c r="G30" s="41"/>
    </row>
    <row r="31" spans="1:7" ht="15.75" thickBot="1" x14ac:dyDescent="0.3">
      <c r="A31" s="222"/>
      <c r="B31" s="38" t="s">
        <v>128</v>
      </c>
      <c r="C31" s="70">
        <f>(2*E7)+(5*E6)+E5</f>
        <v>1.0608</v>
      </c>
      <c r="D31" s="237"/>
      <c r="E31" s="238"/>
      <c r="G31" s="41"/>
    </row>
    <row r="32" spans="1:7" x14ac:dyDescent="0.25">
      <c r="A32" s="222"/>
      <c r="B32" s="38" t="s">
        <v>129</v>
      </c>
      <c r="C32" s="71">
        <f>(3*E7)+(3*E6)+(3*E5)</f>
        <v>1.2576000000000001</v>
      </c>
      <c r="D32" s="239" t="s">
        <v>196</v>
      </c>
      <c r="E32" s="240"/>
      <c r="G32" s="41"/>
    </row>
    <row r="33" spans="1:7" ht="15.75" thickBot="1" x14ac:dyDescent="0.3">
      <c r="A33" s="223"/>
      <c r="B33" s="73" t="s">
        <v>130</v>
      </c>
      <c r="C33" s="74">
        <f>(4*E7)+(5*E5)+E6</f>
        <v>1.4544000000000001</v>
      </c>
      <c r="D33" s="241"/>
      <c r="E33" s="242"/>
      <c r="F33" s="48"/>
      <c r="G33" s="75"/>
    </row>
  </sheetData>
  <sheetProtection algorithmName="SHA-512" hashValue="dHS3chK1Y7oSm6mq6OOv0hHlMoQcp0pzqlk9sZn4JlYZHOCOA+fnFMJpen198Ii+U7Q/+oOdiW84gOZBsswhRg==" saltValue="KZqwZmhK1+mDuidhJpWfZA==" spinCount="100000" sheet="1" objects="1" scenarios="1"/>
  <mergeCells count="6">
    <mergeCell ref="A4:A7"/>
    <mergeCell ref="A8:A33"/>
    <mergeCell ref="A1:G3"/>
    <mergeCell ref="D28:E29"/>
    <mergeCell ref="D30:E31"/>
    <mergeCell ref="D32:E33"/>
  </mergeCells>
  <hyperlinks>
    <hyperlink ref="D28:D29" location="'Application Design'!A1" display="RETURN TO APPLICATION DESIGN" xr:uid="{A6BE2F74-53AF-44D2-B4F5-6B23932670C0}"/>
    <hyperlink ref="D30:E31" location="'Chips.Swarf-Calculator'!A1" display="RETURN TO CHIPS/SWARF CALCULATOR" xr:uid="{CCAC7C6C-2FED-4820-AE5F-FD1EE4AD9714}"/>
    <hyperlink ref="D32:E33" location="'Parts-Calculator'!A1" display="RETURN TO PARTS CALCULATOR" xr:uid="{FD7ABF36-AFAC-40D9-8022-6E4B94339E12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Application Design</vt:lpstr>
      <vt:lpstr>Navigator</vt:lpstr>
      <vt:lpstr>Chips.Swarf-Calculator</vt:lpstr>
      <vt:lpstr>Parts.Scrap-Calculator</vt:lpstr>
      <vt:lpstr>Reference Tables</vt:lpstr>
      <vt:lpstr>'Application Design'!Print_Area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Friesen</dc:creator>
  <cp:lastModifiedBy>Abe Klassen</cp:lastModifiedBy>
  <cp:lastPrinted>2022-03-07T21:36:31Z</cp:lastPrinted>
  <dcterms:created xsi:type="dcterms:W3CDTF">2022-03-04T21:28:07Z</dcterms:created>
  <dcterms:modified xsi:type="dcterms:W3CDTF">2025-07-23T13:50:59Z</dcterms:modified>
</cp:coreProperties>
</file>